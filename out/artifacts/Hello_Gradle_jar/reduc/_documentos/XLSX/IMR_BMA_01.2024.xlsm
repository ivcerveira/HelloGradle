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petrobrasbr-my.sharepoint.com/personal/ivaldo_lima_petrobras_com_br/Documents/Documents/"/>
    </mc:Choice>
  </mc:AlternateContent>
  <xr:revisionPtr revIDLastSave="2" documentId="8_{47DC72FC-9FAA-4FDA-B330-8BF7A4A7448D}" xr6:coauthVersionLast="47" xr6:coauthVersionMax="47" xr10:uidLastSave="{1F3254D6-DC30-479F-90F2-70B5A6FC8E3B}"/>
  <bookViews>
    <workbookView xWindow="-80" yWindow="-80" windowWidth="19360" windowHeight="10240" tabRatio="847" firstSheet="1" activeTab="1" xr2:uid="{00000000-000D-0000-FFFF-FFFF00000000}"/>
  </bookViews>
  <sheets>
    <sheet name="Parâmetro" sheetId="20" state="veryHidden" r:id="rId1"/>
    <sheet name="Estação" sheetId="41" r:id="rId2"/>
    <sheet name="PB,Sistema,076 - SRP,Fibra" sheetId="25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" i="41" l="1"/>
  <c r="H8" i="25"/>
  <c r="H7" i="25"/>
  <c r="AD4" i="25"/>
  <c r="Q4" i="25"/>
  <c r="H4" i="25"/>
  <c r="AJ14" i="41"/>
  <c r="AJ27" i="41"/>
  <c r="AJ45" i="25" l="1"/>
  <c r="AJ17" i="25" l="1"/>
  <c r="AC1" i="25" l="1"/>
  <c r="A4" i="20" l="1"/>
  <c r="A5" i="20" s="1"/>
  <c r="A6" i="20" s="1"/>
  <c r="A7" i="20" s="1"/>
  <c r="A8" i="20" s="1"/>
  <c r="A9" i="20" s="1"/>
  <c r="A10" i="20" s="1"/>
  <c r="A11" i="20" s="1"/>
  <c r="AJ25" i="25" l="1"/>
  <c r="AJ34" i="25"/>
</calcChain>
</file>

<file path=xl/sharedStrings.xml><?xml version="1.0" encoding="utf-8"?>
<sst xmlns="http://schemas.openxmlformats.org/spreadsheetml/2006/main" count="3219" uniqueCount="1940">
  <si>
    <t>Identificação / Formulário / Data da vistoria</t>
  </si>
  <si>
    <t>Valor</t>
  </si>
  <si>
    <t xml:space="preserve">      /      /</t>
  </si>
  <si>
    <t>Identificação / Formulário / Tipo</t>
  </si>
  <si>
    <t>PB,Sistema,019 - SLP,Fixo</t>
  </si>
  <si>
    <t>PB,Sistema,019 - SLP,Móvel</t>
  </si>
  <si>
    <t>PB,Sistema,019 - SLP,Portátil</t>
  </si>
  <si>
    <t>PB,Sistema,023 - SLMP,Base</t>
  </si>
  <si>
    <t>PB,Sistema,023 - SLMP,Fixo</t>
  </si>
  <si>
    <t>PB,Sistema,023 - SLMP,Móvel</t>
  </si>
  <si>
    <t>PB,Sistema,023 - SLMP,Portátil</t>
  </si>
  <si>
    <t>PB,Sistema,181 - SLPS,Fixo</t>
  </si>
  <si>
    <t>PB,Sistema,181 - SLPS,Móvel</t>
  </si>
  <si>
    <t>PB,Sistema,507 - SLMA,Fixo</t>
  </si>
  <si>
    <t>PB,Sistema,507 - SLMA,Portátil</t>
  </si>
  <si>
    <t>PB,Sistema,604 - SLMM,Fixo</t>
  </si>
  <si>
    <t>PB,Sistema,604 - SLMM,Portátil</t>
  </si>
  <si>
    <t>PB,Sistema,076 - SRP,Fibra</t>
  </si>
  <si>
    <t>PB,Sistema,SRR,Rádio</t>
  </si>
  <si>
    <t>PB,Sistema,AntenaSemTransmissor</t>
  </si>
  <si>
    <t>PB,Sistema,Nenhum sistema</t>
  </si>
  <si>
    <t>PB,Sistema,Não outorgado</t>
  </si>
  <si>
    <t>PB,EPTA,B</t>
  </si>
  <si>
    <t>TC,Sistema,Licenciável</t>
  </si>
  <si>
    <t>TC,Sistema,SRR</t>
  </si>
  <si>
    <t>Identificação / Formulário / Área geográfica</t>
  </si>
  <si>
    <t>BCES: Bacia de Campos</t>
  </si>
  <si>
    <t>BCES: Espírito Santo</t>
  </si>
  <si>
    <t>BCES: Bahia</t>
  </si>
  <si>
    <t>MC-RJMGCO: Centro-Oeste</t>
  </si>
  <si>
    <t>MC-RJMGCO: Minas Gerais</t>
  </si>
  <si>
    <t>MC-RJMGCO: Rio de Janeiro</t>
  </si>
  <si>
    <t>NE: Bahia</t>
  </si>
  <si>
    <t>NE: Pernambuco e Paraíba</t>
  </si>
  <si>
    <t>NE: Sergipe e Alagoas</t>
  </si>
  <si>
    <t>NNE: Norte</t>
  </si>
  <si>
    <t>NNE: Nordeste</t>
  </si>
  <si>
    <t>OFFS: Bacia de Campos</t>
  </si>
  <si>
    <t>OFFS: Espírito Santo</t>
  </si>
  <si>
    <t>OFFS: Bahia</t>
  </si>
  <si>
    <t>OFFS: Pernambuco e Paraíba</t>
  </si>
  <si>
    <t>OFFS: Sergipe e Alagoas</t>
  </si>
  <si>
    <t>OFFS: Norte</t>
  </si>
  <si>
    <t>OFFS: Nordeste</t>
  </si>
  <si>
    <t>OFFS: São Paulo e Sul</t>
  </si>
  <si>
    <t>SPS: São Paulo e Sul</t>
  </si>
  <si>
    <t>Sistema / Sistema irradiante / Tipo</t>
  </si>
  <si>
    <t>019 - Onidirecional / Monopolo vertical</t>
  </si>
  <si>
    <t>020 - Onidirecional / Monopolo Vertical 3x5/8 de onda</t>
  </si>
  <si>
    <t>021 - Onidirecional / Monopolo vertical 5/8 de onda</t>
  </si>
  <si>
    <t>027 - Onidirecional / Monopolo com carga de topo</t>
  </si>
  <si>
    <t>035 - Onidirecional / Monopolo vertical com plano de terra</t>
  </si>
  <si>
    <t>036 - Onidirecional / Monopolo vertical com plano de terra 2x5/8 de Onda</t>
  </si>
  <si>
    <t>037 - Onidirecional / Monopolo vertical com plano de terra 5/8 de Onda</t>
  </si>
  <si>
    <t>038 - Onidirecional / Monopolo vertical com plano de terra 3x5/8 de Onda</t>
  </si>
  <si>
    <t>043 - Onidirecional / Monopolo dobrado</t>
  </si>
  <si>
    <t>051 - Onidirecional / Monopolo cônico</t>
  </si>
  <si>
    <t>060 - Onidirecional / V invertido</t>
  </si>
  <si>
    <t>078 - Onidirecional / Monopolo com bobina de carga</t>
  </si>
  <si>
    <t>086 - Onidirecional / Dipolos colineares</t>
  </si>
  <si>
    <t>094 - Onidirecional / Antena colinear com 08 elementos</t>
  </si>
  <si>
    <t>167 - Onidirecional / Outras antenas onidirecionais</t>
  </si>
  <si>
    <t>168 - Onidirecional / Antenas omnidirecionais para uso no interior de edificação</t>
  </si>
  <si>
    <t>175 - Não diretiva / Dipolo de meia onda</t>
  </si>
  <si>
    <t>183 - Não diretiva / Dipolo de quarto de onda</t>
  </si>
  <si>
    <t>191 - Não diretiva / Dipolo dobrado de dois elementos</t>
  </si>
  <si>
    <t>205 - Não diretiva / Dipolo dobrado de três elementos</t>
  </si>
  <si>
    <t>213 - Não diretiva / Cabo fendido</t>
  </si>
  <si>
    <t>302 - Não diretiva / Dipolo 1/2 onda / Monopolo vertical</t>
  </si>
  <si>
    <t>310 - Não diretiva / Outras antenas não diretivas</t>
  </si>
  <si>
    <t>329 - Diretiva / Dipolo de onda completa com refletor plano</t>
  </si>
  <si>
    <t>337 - Diretiva / Dipolo de 1/2 com refletor plano</t>
  </si>
  <si>
    <t>345 - Diretiva / Dipolo de 1/4 de onda com refletor plano</t>
  </si>
  <si>
    <t>353 - Diretiva / Dipolo com refletor de canto</t>
  </si>
  <si>
    <t>361 - Diretiva / Cortina de dipolos sem refletor</t>
  </si>
  <si>
    <t>370 - Diretiva / Cortina de dipolos com refletor</t>
  </si>
  <si>
    <t>388 - Diretiva / Cortina de dipolos dupla com refletor</t>
  </si>
  <si>
    <t>396 - Diretiva / Painéis de dipolos</t>
  </si>
  <si>
    <t>400 - Diretiva / Conjuntos lineares uniformes</t>
  </si>
  <si>
    <t>418 - Diretiva / Conjuntos lineares não uniformes</t>
  </si>
  <si>
    <t>426 - Diretiva / Conjuntos de radiação transversal</t>
  </si>
  <si>
    <t>434 - Diretiva / Conjuntos de radiação longitudinal</t>
  </si>
  <si>
    <t>442 - Diretiva / Conjuntos planos</t>
  </si>
  <si>
    <t>450 - Diretiva / Antena helicoidal sem refletor</t>
  </si>
  <si>
    <t>469 - Diretiva / Antena helicoidal com refletor</t>
  </si>
  <si>
    <t>477 - Diretiva / Antena helicoidal com refletor de canto</t>
  </si>
  <si>
    <t>485 - Diretiva / Antena rômbica simples</t>
  </si>
  <si>
    <t>493 - Diretiva / Antena rômbica tipo cortina</t>
  </si>
  <si>
    <t>507 - Diretiva / Antena de quadro</t>
  </si>
  <si>
    <t>515 - Diretiva / Antena coaxial</t>
  </si>
  <si>
    <t>523 - Diretiva / Antena descone</t>
  </si>
  <si>
    <t>531 - Diretiva / Antena beverage</t>
  </si>
  <si>
    <t>540 - Diretiva / Antena log-periódica</t>
  </si>
  <si>
    <t>558 - Diretiva / Antena yagi com 3 elementos</t>
  </si>
  <si>
    <t>566 - Diretiva / Antena yagi com 4 elementos</t>
  </si>
  <si>
    <t>574 - Diretiva / Antena yagi com 5 elementos</t>
  </si>
  <si>
    <t>582 - Diretiva / Antena yagi com 6 elementos</t>
  </si>
  <si>
    <t>586 - Diretiva / Antena Yagi com 8 elementos</t>
  </si>
  <si>
    <t>590 - Diretiva / Antena yagi com 9 elementos</t>
  </si>
  <si>
    <t>604 - Diretiva / Antena yagi com 10 elementos</t>
  </si>
  <si>
    <t>612 - Diretiva / Antena yagi com 12 elementos</t>
  </si>
  <si>
    <t>620 - Diretiva / Antena yagi com 15 elementos</t>
  </si>
  <si>
    <t>639 - Diretiva / Antena yagi com 18 elementos</t>
  </si>
  <si>
    <t>642 - Diretiva / Antena Yagi com 21 elementos</t>
  </si>
  <si>
    <t>647 - Diretiva / Billboard</t>
  </si>
  <si>
    <t>655 - Diretiva / Antena com refletor parabólico</t>
  </si>
  <si>
    <t>663 - Diretiva / Antena com refletor hiperbólico</t>
  </si>
  <si>
    <t>671 - Diretiva / Antena turnstile</t>
  </si>
  <si>
    <t>680 - Diretiva / Antena superturnstile</t>
  </si>
  <si>
    <t>698 - Diretiva / Antena pilon</t>
  </si>
  <si>
    <t>701 - Diretiva / Satélite refletor passivo</t>
  </si>
  <si>
    <t>710 - Diretiva / Antena Yagi com 2 elementos</t>
  </si>
  <si>
    <t>728 - Diretiva / Antena Yagi com 7 elementos</t>
  </si>
  <si>
    <t>736 - Diretiva / Antena Yagi com 11 elementos</t>
  </si>
  <si>
    <t>744 - Diretiva / Outras antenas Yagi</t>
  </si>
  <si>
    <t>752 - Diretiva / Antena Yagi com 13 elementos</t>
  </si>
  <si>
    <t>760 - Diretiva / Antena setorizada (Celular)</t>
  </si>
  <si>
    <t>779 - Diretiva / Antena Yagi com 24 elementos</t>
  </si>
  <si>
    <t>787 - Diretiva / Antena Yagi com 26 elementos</t>
  </si>
  <si>
    <t>795 - Diretiva / Log Periódica/Dipolo</t>
  </si>
  <si>
    <t>796 - Diretiva / Antena colinear com 04 elementos diretivos</t>
  </si>
  <si>
    <t>809 - Diretiva / Associação de Antenas Yagi</t>
  </si>
  <si>
    <t>817 - Diretiva / Outras antenas diretivas</t>
  </si>
  <si>
    <t>825 - Linha de transmissão de energia elétrica</t>
  </si>
  <si>
    <t>833 - Outras linhas físicas</t>
  </si>
  <si>
    <t>Auxiliar / 023 / Município</t>
  </si>
  <si>
    <t>UF</t>
  </si>
  <si>
    <t>Municípios</t>
  </si>
  <si>
    <t>AL</t>
  </si>
  <si>
    <t>Pilar, São Miguel dos Campos</t>
  </si>
  <si>
    <t>AM</t>
  </si>
  <si>
    <t>Coari, Manaus</t>
  </si>
  <si>
    <t>BA</t>
  </si>
  <si>
    <t>Alagoinhas, Camaçari, Candeias, Catu, Entre Rios, Esplanada, Pojuca, São Sebastião do Passé</t>
  </si>
  <si>
    <t>CE</t>
  </si>
  <si>
    <t>Fortaleza, Paracuru</t>
  </si>
  <si>
    <t>ES</t>
  </si>
  <si>
    <t>Jaguaré, Linhares, São Mateus, Serra, Vitória</t>
  </si>
  <si>
    <t>MG</t>
  </si>
  <si>
    <t>Betim</t>
  </si>
  <si>
    <t>MS</t>
  </si>
  <si>
    <t>Três Lagoas</t>
  </si>
  <si>
    <t>PE</t>
  </si>
  <si>
    <t>Ipojuca</t>
  </si>
  <si>
    <t>PR</t>
  </si>
  <si>
    <t>Araucária, São Mateus do Sul</t>
  </si>
  <si>
    <t>RJ</t>
  </si>
  <si>
    <t>Angra dos Reis, Duque de Caxias, Itaboraí, Macaé, Quissamã, Rio de Janeiro</t>
  </si>
  <si>
    <t>RN</t>
  </si>
  <si>
    <t>Alto do Rodrigues, Apodi, Guamaré, Macau, Natal, Serra do Mel</t>
  </si>
  <si>
    <t>RS</t>
  </si>
  <si>
    <t>Cachoeirinha, Canoas, Esteio, Gravataí, Nova Santa Rita, Porto Alegre, São Leopoldo, Sapucaia do Sul, Triunfo</t>
  </si>
  <si>
    <t>SE</t>
  </si>
  <si>
    <t>Aracaju, Carmópolis, Divina Pastora, Laranjeiras</t>
  </si>
  <si>
    <t>SP</t>
  </si>
  <si>
    <t>Bertioga, Caraguatatuba, Cubatão, Guarujá, Itanhaém, Mauá, Mongaguá, Paulínia, Praia Grande, Santos, São Bernardo do Campo, São José dos Campos, São Vicente</t>
  </si>
  <si>
    <t>PETROBRAS / Identificação / Serviço não outorgado</t>
  </si>
  <si>
    <t>[  ] 010 - SMP    [  ] 045 - SCM    [  ] 046 - RSCM    [  ] 053 - RSMP    [  ] 176 - STFC    [  ] Outro</t>
  </si>
  <si>
    <t>[ X ] 010 - SMP</t>
  </si>
  <si>
    <t>[ X ] 045 - SCM</t>
  </si>
  <si>
    <t>[ X ] 046 - RSCM</t>
  </si>
  <si>
    <t>[ X ] 053 - RSMP</t>
  </si>
  <si>
    <t>[ X ] 176 - STFC</t>
  </si>
  <si>
    <t>[ X ] Outro</t>
  </si>
  <si>
    <t>Terceiro / Identificação / Serviço</t>
  </si>
  <si>
    <t>[  ] 010 - SMP    [  ] 011 - SLPT    [  ] 019 - SLP    [  ] 023 - SLMP    [  ] 034 - SLMPG    [  ] 045 - SCM    [  ] 046 - RSCM    [  ] 053 - RSMP    [  ] 108 - SLPR      [  ] 175 - STFC     [  ] 182 - SLES     [  ] 187 - SRES     [  ] 507 - SLMA                        [  ] 604 - SLMM    [  ] Outro</t>
  </si>
  <si>
    <t>[ X ] 011 - SLPT</t>
  </si>
  <si>
    <t>[ X ] 019 - SLP</t>
  </si>
  <si>
    <t>[ X ] 023 - SLMP</t>
  </si>
  <si>
    <t>[ X ] 034 - SLMPG</t>
  </si>
  <si>
    <t>[ X ] 108 - SLPR</t>
  </si>
  <si>
    <t>[ X ] 175 - STFC</t>
  </si>
  <si>
    <t>[ X ] 182 - SLES</t>
  </si>
  <si>
    <t>[ X ] 187 - SRES</t>
  </si>
  <si>
    <t>[ X ] 507 - SLMA</t>
  </si>
  <si>
    <t>[ X ] 604 - SLMM</t>
  </si>
  <si>
    <t>Identificação / Formulário / Estação</t>
  </si>
  <si>
    <t/>
  </si>
  <si>
    <t>AAO</t>
  </si>
  <si>
    <t>ABA</t>
  </si>
  <si>
    <t>ACK</t>
  </si>
  <si>
    <t>ACKB</t>
  </si>
  <si>
    <t>ACU2</t>
  </si>
  <si>
    <t>ADA</t>
  </si>
  <si>
    <t>ADG</t>
  </si>
  <si>
    <t>ADGA</t>
  </si>
  <si>
    <t>ADGB</t>
  </si>
  <si>
    <t>AE6</t>
  </si>
  <si>
    <t>AFA</t>
  </si>
  <si>
    <t>AFO</t>
  </si>
  <si>
    <t>AHP</t>
  </si>
  <si>
    <t>AJO</t>
  </si>
  <si>
    <t>AJU</t>
  </si>
  <si>
    <t>ALDA</t>
  </si>
  <si>
    <t>ALH2</t>
  </si>
  <si>
    <t>ALH3</t>
  </si>
  <si>
    <t>ALMA</t>
  </si>
  <si>
    <t>ALO</t>
  </si>
  <si>
    <t>ALX</t>
  </si>
  <si>
    <t>AMA</t>
  </si>
  <si>
    <t>AML</t>
  </si>
  <si>
    <t>Araracanga</t>
  </si>
  <si>
    <t>ARD</t>
  </si>
  <si>
    <t>ARPE</t>
  </si>
  <si>
    <t>ARPO</t>
  </si>
  <si>
    <t>ARS</t>
  </si>
  <si>
    <t>ASA</t>
  </si>
  <si>
    <t>ASE</t>
  </si>
  <si>
    <t>ASR</t>
  </si>
  <si>
    <t>AUC</t>
  </si>
  <si>
    <t>AVA</t>
  </si>
  <si>
    <t>AVR</t>
  </si>
  <si>
    <t>BAE</t>
  </si>
  <si>
    <t>BAL</t>
  </si>
  <si>
    <t>BAO</t>
  </si>
  <si>
    <t>BBE</t>
  </si>
  <si>
    <t>BBK</t>
  </si>
  <si>
    <t>BCR</t>
  </si>
  <si>
    <t>BET</t>
  </si>
  <si>
    <t>BGA</t>
  </si>
  <si>
    <t>BGC</t>
  </si>
  <si>
    <t>BHO</t>
  </si>
  <si>
    <t>BIODIESEL BA</t>
  </si>
  <si>
    <t>BLS</t>
  </si>
  <si>
    <t>BMA</t>
  </si>
  <si>
    <t>BMM</t>
  </si>
  <si>
    <t>BPR</t>
  </si>
  <si>
    <t>BRC</t>
  </si>
  <si>
    <t>BRCA</t>
  </si>
  <si>
    <t>BRE</t>
  </si>
  <si>
    <t>BRR</t>
  </si>
  <si>
    <t>BSA2</t>
  </si>
  <si>
    <t>BSHY</t>
  </si>
  <si>
    <t>BSV</t>
  </si>
  <si>
    <t>BURC</t>
  </si>
  <si>
    <t>BURC2</t>
  </si>
  <si>
    <t>BVO</t>
  </si>
  <si>
    <t>BVT</t>
  </si>
  <si>
    <t>Cachoeirinha</t>
  </si>
  <si>
    <t>CAI</t>
  </si>
  <si>
    <t>CAIN</t>
  </si>
  <si>
    <t>CAL</t>
  </si>
  <si>
    <t>Camacan</t>
  </si>
  <si>
    <t>CAN</t>
  </si>
  <si>
    <t>CANDEIAS</t>
  </si>
  <si>
    <t>CANDEIAS - UCIS</t>
  </si>
  <si>
    <t>CAPX</t>
  </si>
  <si>
    <t>CAR</t>
  </si>
  <si>
    <t>CAR3</t>
  </si>
  <si>
    <t>CAR5</t>
  </si>
  <si>
    <t>CAR6</t>
  </si>
  <si>
    <t>CBI</t>
  </si>
  <si>
    <t>CBN</t>
  </si>
  <si>
    <t>CBR</t>
  </si>
  <si>
    <t>CBRS</t>
  </si>
  <si>
    <t>CBS</t>
  </si>
  <si>
    <t>CCL</t>
  </si>
  <si>
    <t>CDL</t>
  </si>
  <si>
    <t>CDS</t>
  </si>
  <si>
    <t>Cegelec</t>
  </si>
  <si>
    <t>CER</t>
  </si>
  <si>
    <t>CES</t>
  </si>
  <si>
    <t>CES2</t>
  </si>
  <si>
    <t>CES4</t>
  </si>
  <si>
    <t>CGA</t>
  </si>
  <si>
    <t>CGE</t>
  </si>
  <si>
    <t>Chesf</t>
  </si>
  <si>
    <t>CIG</t>
  </si>
  <si>
    <t>CIPA</t>
  </si>
  <si>
    <t>CIS2</t>
  </si>
  <si>
    <t>CIU</t>
  </si>
  <si>
    <t>CJU</t>
  </si>
  <si>
    <t>CJU2</t>
  </si>
  <si>
    <t>CLS</t>
  </si>
  <si>
    <t>CM03</t>
  </si>
  <si>
    <t>CM04</t>
  </si>
  <si>
    <t>CM05</t>
  </si>
  <si>
    <t>CMD</t>
  </si>
  <si>
    <t>CNG</t>
  </si>
  <si>
    <t>Conde</t>
  </si>
  <si>
    <t>Coreia</t>
  </si>
  <si>
    <t>COT01</t>
  </si>
  <si>
    <t>COT02</t>
  </si>
  <si>
    <t>COT03</t>
  </si>
  <si>
    <t>COT04</t>
  </si>
  <si>
    <t>CPD</t>
  </si>
  <si>
    <t>CPI</t>
  </si>
  <si>
    <t>CPNE</t>
  </si>
  <si>
    <t>CPO</t>
  </si>
  <si>
    <t>CPS</t>
  </si>
  <si>
    <t>CRO</t>
  </si>
  <si>
    <t>CSRO</t>
  </si>
  <si>
    <t>CTQE</t>
  </si>
  <si>
    <t>CVY</t>
  </si>
  <si>
    <t>DQ21</t>
  </si>
  <si>
    <t>DQX</t>
  </si>
  <si>
    <t>DRUS</t>
  </si>
  <si>
    <t>EBD</t>
  </si>
  <si>
    <t>EDA</t>
  </si>
  <si>
    <t>EDI</t>
  </si>
  <si>
    <t>ERS</t>
  </si>
  <si>
    <t>ES PLATAFORMAS</t>
  </si>
  <si>
    <t>EUS</t>
  </si>
  <si>
    <t>EXT21</t>
  </si>
  <si>
    <t>FAL</t>
  </si>
  <si>
    <t>FAV</t>
  </si>
  <si>
    <t>FBE</t>
  </si>
  <si>
    <t>FBM</t>
  </si>
  <si>
    <t>FBO</t>
  </si>
  <si>
    <t>FBOB</t>
  </si>
  <si>
    <t>FBOC</t>
  </si>
  <si>
    <t>FCA</t>
  </si>
  <si>
    <t>FCO</t>
  </si>
  <si>
    <t>FFN</t>
  </si>
  <si>
    <t>FLA</t>
  </si>
  <si>
    <t>FML</t>
  </si>
  <si>
    <t>FNA</t>
  </si>
  <si>
    <t>FPA</t>
  </si>
  <si>
    <t>FPCG</t>
  </si>
  <si>
    <t>FPIBL</t>
  </si>
  <si>
    <t>FPLA</t>
  </si>
  <si>
    <t>FPMRC</t>
  </si>
  <si>
    <t>FPNIT</t>
  </si>
  <si>
    <t>FPPAT</t>
  </si>
  <si>
    <t>FPSOCG</t>
  </si>
  <si>
    <t>FPSQR</t>
  </si>
  <si>
    <t>FPSTS</t>
  </si>
  <si>
    <t>FPSVE</t>
  </si>
  <si>
    <t>FRA</t>
  </si>
  <si>
    <t>FSA</t>
  </si>
  <si>
    <t>FSMCE</t>
  </si>
  <si>
    <t>FSO MACAÉ</t>
  </si>
  <si>
    <t>Garapuá</t>
  </si>
  <si>
    <t>GBS</t>
  </si>
  <si>
    <t>GDU</t>
  </si>
  <si>
    <t>GFO2</t>
  </si>
  <si>
    <t>GLEA</t>
  </si>
  <si>
    <t>GME</t>
  </si>
  <si>
    <t>GNA</t>
  </si>
  <si>
    <t>GPR</t>
  </si>
  <si>
    <t>GRM</t>
  </si>
  <si>
    <t>GRS</t>
  </si>
  <si>
    <t>GRU</t>
  </si>
  <si>
    <t>GTI</t>
  </si>
  <si>
    <t>HMT</t>
  </si>
  <si>
    <t>IAG</t>
  </si>
  <si>
    <t>IBE</t>
  </si>
  <si>
    <t>ICA</t>
  </si>
  <si>
    <t>ICM1</t>
  </si>
  <si>
    <t>IDA</t>
  </si>
  <si>
    <t>IFO</t>
  </si>
  <si>
    <t>IFO2</t>
  </si>
  <si>
    <t>IGB</t>
  </si>
  <si>
    <t>IHU</t>
  </si>
  <si>
    <t>Ilhas</t>
  </si>
  <si>
    <t>IOY</t>
  </si>
  <si>
    <t>IPCU</t>
  </si>
  <si>
    <t>IQI</t>
  </si>
  <si>
    <t>IRA</t>
  </si>
  <si>
    <t>Itacaré</t>
  </si>
  <si>
    <t>ITB</t>
  </si>
  <si>
    <t>ITO</t>
  </si>
  <si>
    <t>JCI</t>
  </si>
  <si>
    <t>JDA</t>
  </si>
  <si>
    <t>JF7</t>
  </si>
  <si>
    <t>JFA</t>
  </si>
  <si>
    <t>JON</t>
  </si>
  <si>
    <t>JP25</t>
  </si>
  <si>
    <t>LG51</t>
  </si>
  <si>
    <t>LG52</t>
  </si>
  <si>
    <t>LG53</t>
  </si>
  <si>
    <t>LG54</t>
  </si>
  <si>
    <t>LMO</t>
  </si>
  <si>
    <t>LMRO</t>
  </si>
  <si>
    <t>LNA</t>
  </si>
  <si>
    <t>Logum</t>
  </si>
  <si>
    <t>LPO</t>
  </si>
  <si>
    <t>LUC- 09 INJET</t>
  </si>
  <si>
    <t>LUC-01 INJET</t>
  </si>
  <si>
    <t>LUC-04 INJET</t>
  </si>
  <si>
    <t>LUC-05 (XML REP POÇO)</t>
  </si>
  <si>
    <t>LUC-05 INJET</t>
  </si>
  <si>
    <t>LUC-12B</t>
  </si>
  <si>
    <t>LUC-12B_TESTE</t>
  </si>
  <si>
    <t>LUC-12J</t>
  </si>
  <si>
    <t>LUC-40 INJET</t>
  </si>
  <si>
    <t>MAU</t>
  </si>
  <si>
    <t>MBA</t>
  </si>
  <si>
    <t>MBF</t>
  </si>
  <si>
    <t>MCC</t>
  </si>
  <si>
    <t>MCE</t>
  </si>
  <si>
    <t>MCZ</t>
  </si>
  <si>
    <t>MDY</t>
  </si>
  <si>
    <t>MFG</t>
  </si>
  <si>
    <t>MGA</t>
  </si>
  <si>
    <t>MID</t>
  </si>
  <si>
    <t>MIGUELAO</t>
  </si>
  <si>
    <t>MIGUELITO</t>
  </si>
  <si>
    <t>MIH</t>
  </si>
  <si>
    <t>ML4</t>
  </si>
  <si>
    <t>ML5</t>
  </si>
  <si>
    <t>MLZ</t>
  </si>
  <si>
    <t>MMO</t>
  </si>
  <si>
    <t>MNA</t>
  </si>
  <si>
    <t>MNS</t>
  </si>
  <si>
    <t>MOP1</t>
  </si>
  <si>
    <t>MPE</t>
  </si>
  <si>
    <t>MRM</t>
  </si>
  <si>
    <t>MSE</t>
  </si>
  <si>
    <t>MTRI</t>
  </si>
  <si>
    <t>MTRI2</t>
  </si>
  <si>
    <t>MVE</t>
  </si>
  <si>
    <t>MXL</t>
  </si>
  <si>
    <t>NOVN</t>
  </si>
  <si>
    <t>NS31</t>
  </si>
  <si>
    <t>NS41</t>
  </si>
  <si>
    <t>NS42</t>
  </si>
  <si>
    <t>NS49</t>
  </si>
  <si>
    <t>NST</t>
  </si>
  <si>
    <t>NTL</t>
  </si>
  <si>
    <t>Oiapoque</t>
  </si>
  <si>
    <t>OSR</t>
  </si>
  <si>
    <t>P03</t>
  </si>
  <si>
    <t>P06</t>
  </si>
  <si>
    <t>P09</t>
  </si>
  <si>
    <t>P15</t>
  </si>
  <si>
    <t>P18</t>
  </si>
  <si>
    <t>P19</t>
  </si>
  <si>
    <t>P20</t>
  </si>
  <si>
    <t>P25</t>
  </si>
  <si>
    <t>P26</t>
  </si>
  <si>
    <t>P31</t>
  </si>
  <si>
    <t>P32</t>
  </si>
  <si>
    <t>P-32</t>
  </si>
  <si>
    <t>P33</t>
  </si>
  <si>
    <t>P35</t>
  </si>
  <si>
    <t>P37</t>
  </si>
  <si>
    <t>P38</t>
  </si>
  <si>
    <t>P40</t>
  </si>
  <si>
    <t>P43</t>
  </si>
  <si>
    <t>P47</t>
  </si>
  <si>
    <t>P48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</si>
  <si>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</si>
  <si>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</si>
  <si>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</si>
  <si>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</si>
  <si>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</si>
  <si>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</si>
  <si>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</si>
  <si>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</si>
  <si>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</si>
  <si>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P58 Guindaste 2</t>
  </si>
  <si>
    <t>P62</t>
  </si>
  <si>
    <t>P66</t>
  </si>
  <si>
    <t>P67</t>
  </si>
  <si>
    <t>P68</t>
  </si>
  <si>
    <t>P69</t>
  </si>
  <si>
    <t>P70</t>
  </si>
  <si>
    <t>P71</t>
  </si>
  <si>
    <t>P74</t>
  </si>
  <si>
    <t>P75</t>
  </si>
  <si>
    <t>P76</t>
  </si>
  <si>
    <t>P77</t>
  </si>
  <si>
    <t>PARB-1</t>
  </si>
  <si>
    <t>PARB-2</t>
  </si>
  <si>
    <t>PARB-3</t>
  </si>
  <si>
    <t>PAT1</t>
  </si>
  <si>
    <t>PAT2</t>
  </si>
  <si>
    <t>PAT3</t>
  </si>
  <si>
    <t>PBI</t>
  </si>
  <si>
    <t>PBRKU2P-58</t>
  </si>
  <si>
    <t>PBRKUER01P-57</t>
  </si>
  <si>
    <t>PBRKUER02P-57</t>
  </si>
  <si>
    <t>PBRKUP-58</t>
  </si>
  <si>
    <t>PCB01</t>
  </si>
  <si>
    <t>PCB02</t>
  </si>
  <si>
    <t>PCB03</t>
  </si>
  <si>
    <t>PCB04</t>
  </si>
  <si>
    <t>PCE1</t>
  </si>
  <si>
    <t>PCH1</t>
  </si>
  <si>
    <t>PCH2</t>
  </si>
  <si>
    <t>PCM1</t>
  </si>
  <si>
    <t>PCM10</t>
  </si>
  <si>
    <t>PCM2</t>
  </si>
  <si>
    <t>PCM4</t>
  </si>
  <si>
    <t>PCM6</t>
  </si>
  <si>
    <t>PCM7</t>
  </si>
  <si>
    <t>PCM8</t>
  </si>
  <si>
    <t>PCM9</t>
  </si>
  <si>
    <t>PCP1E3</t>
  </si>
  <si>
    <t>PCP2</t>
  </si>
  <si>
    <t>PCR1</t>
  </si>
  <si>
    <t>PDO1</t>
  </si>
  <si>
    <t>PDO2</t>
  </si>
  <si>
    <t>PEA</t>
  </si>
  <si>
    <t>PEN</t>
  </si>
  <si>
    <t>PEO</t>
  </si>
  <si>
    <t>PEP1</t>
  </si>
  <si>
    <t>PEP-1</t>
  </si>
  <si>
    <t>PERE</t>
  </si>
  <si>
    <t>PGA</t>
  </si>
  <si>
    <t>PGA01</t>
  </si>
  <si>
    <t>PGA02</t>
  </si>
  <si>
    <t>PGA03</t>
  </si>
  <si>
    <t>PGA04</t>
  </si>
  <si>
    <t>PGA05</t>
  </si>
  <si>
    <t>PGA06</t>
  </si>
  <si>
    <t>PGA07</t>
  </si>
  <si>
    <t>PGA3</t>
  </si>
  <si>
    <t>PGP1</t>
  </si>
  <si>
    <t>PI1</t>
  </si>
  <si>
    <t>Pier_Secundário</t>
  </si>
  <si>
    <t>Piraí</t>
  </si>
  <si>
    <t>PJUC</t>
  </si>
  <si>
    <t>PLA</t>
  </si>
  <si>
    <t>Plataforma P-70 VHF Fixo 01</t>
  </si>
  <si>
    <t>Plataforma P-70 VHF Fixo 02</t>
  </si>
  <si>
    <t>Plataforma P-70 VHF Fixo 03</t>
  </si>
  <si>
    <t>Plataforma P-70 VHF Fixo 04</t>
  </si>
  <si>
    <t>PMLZ</t>
  </si>
  <si>
    <t>PMNT</t>
  </si>
  <si>
    <t>PNA1</t>
  </si>
  <si>
    <t>PNA2</t>
  </si>
  <si>
    <t>PNG</t>
  </si>
  <si>
    <t>Poço_029_NORTE</t>
  </si>
  <si>
    <t>Poço_128_FBM_SUL</t>
  </si>
  <si>
    <t>Poço_23_ACK_BM</t>
  </si>
  <si>
    <t>Poço_ACK_302</t>
  </si>
  <si>
    <t>Poço_ACK_BM_058</t>
  </si>
  <si>
    <t>Poço_ACK_BM_091</t>
  </si>
  <si>
    <t>Poço_ACK_BM_107</t>
  </si>
  <si>
    <t>Poço_ACK_BM_122/128</t>
  </si>
  <si>
    <t>Poço_ACK_BM_135</t>
  </si>
  <si>
    <t>Poço_ACK_BM_183</t>
  </si>
  <si>
    <t>Poço_ACK_BM_207</t>
  </si>
  <si>
    <t>Poço_ACK_BM_293</t>
  </si>
  <si>
    <t>Poço_ACK_BM_296</t>
  </si>
  <si>
    <t>Poço_ACK_BM_300</t>
  </si>
  <si>
    <t>Poço_ACK_BM_301</t>
  </si>
  <si>
    <t>Poço_AR_004</t>
  </si>
  <si>
    <t>Poço_AR_016</t>
  </si>
  <si>
    <t>Poço_AR_020</t>
  </si>
  <si>
    <t>Poço_AR_023</t>
  </si>
  <si>
    <t>Poço_AR_024</t>
  </si>
  <si>
    <t>Poço_AR_025</t>
  </si>
  <si>
    <t>Poço_AR_027</t>
  </si>
  <si>
    <t>Poço_AR_038</t>
  </si>
  <si>
    <t>Poço_AR_039</t>
  </si>
  <si>
    <t>Poço_AR_044</t>
  </si>
  <si>
    <t>Poço_AR_047</t>
  </si>
  <si>
    <t>Poço_AR_049</t>
  </si>
  <si>
    <t>Poço_AR_053</t>
  </si>
  <si>
    <t>Poço_AR_054</t>
  </si>
  <si>
    <t>Poço_AR_058</t>
  </si>
  <si>
    <t>Poço_AR_063</t>
  </si>
  <si>
    <t>Poço_AR_066</t>
  </si>
  <si>
    <t>Poço_AR_072</t>
  </si>
  <si>
    <t>Poço_AR_077</t>
  </si>
  <si>
    <t>Poço_AR_078</t>
  </si>
  <si>
    <t>Poço_AR_088</t>
  </si>
  <si>
    <t>Poço_AR_091</t>
  </si>
  <si>
    <t>Poço_AR_096</t>
  </si>
  <si>
    <t>Poço_AR_104</t>
  </si>
  <si>
    <t>Poço_AR_106</t>
  </si>
  <si>
    <t>Poço_AR_107</t>
  </si>
  <si>
    <t>Poço_AR_108</t>
  </si>
  <si>
    <t>Poço_AR_114</t>
  </si>
  <si>
    <t>Poço_AR_116</t>
  </si>
  <si>
    <t>Poço_AR_120</t>
  </si>
  <si>
    <t>Poço_AR_121</t>
  </si>
  <si>
    <t>Poço_AR_122</t>
  </si>
  <si>
    <t>Poço_AR_123</t>
  </si>
  <si>
    <t>Poço_AR_124</t>
  </si>
  <si>
    <t>Poço_AR_126</t>
  </si>
  <si>
    <t>Poço_AR_128</t>
  </si>
  <si>
    <t>Poço_AR_129</t>
  </si>
  <si>
    <t>Poço_AR_130</t>
  </si>
  <si>
    <t>Poço_AR_132</t>
  </si>
  <si>
    <t>Poço_AR_138</t>
  </si>
  <si>
    <t>Poço_AR_142</t>
  </si>
  <si>
    <t>Poço_AR_146</t>
  </si>
  <si>
    <t>Poço_AR_149</t>
  </si>
  <si>
    <t>Poço_AR_150</t>
  </si>
  <si>
    <t>Poço_AR_153</t>
  </si>
  <si>
    <t>Poço_AR_154</t>
  </si>
  <si>
    <t>Poço_AR_156</t>
  </si>
  <si>
    <t>Poço_AR_158</t>
  </si>
  <si>
    <t>Poço_AR_161</t>
  </si>
  <si>
    <t>Poço_AR_162</t>
  </si>
  <si>
    <t>Poço_AR_167</t>
  </si>
  <si>
    <t>Poço_AR_179</t>
  </si>
  <si>
    <t>Poço_AR_183</t>
  </si>
  <si>
    <t>Poço_AR_186</t>
  </si>
  <si>
    <t>Poço_AR_187</t>
  </si>
  <si>
    <t>Poço_AR_188</t>
  </si>
  <si>
    <t>Poço_AR_189</t>
  </si>
  <si>
    <t>Poço_AR_190</t>
  </si>
  <si>
    <t>Poço_AR_191</t>
  </si>
  <si>
    <t>Poço_AR_193</t>
  </si>
  <si>
    <t>Poço_AR_196</t>
  </si>
  <si>
    <t>Poço_AR_198</t>
  </si>
  <si>
    <t>Poço_AR_199</t>
  </si>
  <si>
    <t>Poço_AR_201</t>
  </si>
  <si>
    <t>Poço_AR_202</t>
  </si>
  <si>
    <t>Poço_AR_205</t>
  </si>
  <si>
    <t>Poço_AR_206</t>
  </si>
  <si>
    <t>Poço_AR_207</t>
  </si>
  <si>
    <t>Poço_AR_208</t>
  </si>
  <si>
    <t>Poço_AR_209</t>
  </si>
  <si>
    <t>Poço_AR_210</t>
  </si>
  <si>
    <t>Poço_AR_211</t>
  </si>
  <si>
    <t>Poço_AR_212</t>
  </si>
  <si>
    <t>Poço_AR_214</t>
  </si>
  <si>
    <t>Poço_AR_215</t>
  </si>
  <si>
    <t>Poço_AR_216</t>
  </si>
  <si>
    <t>Poço_AR_217</t>
  </si>
  <si>
    <t>Poço_AR_220</t>
  </si>
  <si>
    <t>Poço_AR_221</t>
  </si>
  <si>
    <t>Poço_AR_224</t>
  </si>
  <si>
    <t>Poço_AR_225</t>
  </si>
  <si>
    <t>Poço_AR_228</t>
  </si>
  <si>
    <t>Poço_AR_232</t>
  </si>
  <si>
    <t>Poço_AR_239</t>
  </si>
  <si>
    <t>Poço_AR_240</t>
  </si>
  <si>
    <t>Poço_AR_246</t>
  </si>
  <si>
    <t>Poço_AR_250</t>
  </si>
  <si>
    <t>Poço_AR_254</t>
  </si>
  <si>
    <t>Poço_AR_256</t>
  </si>
  <si>
    <t>Poço_AR_258</t>
  </si>
  <si>
    <t>Poço_AR_265</t>
  </si>
  <si>
    <t>Poço_AR_266</t>
  </si>
  <si>
    <t>Poço_AR_268</t>
  </si>
  <si>
    <t>Poço_AR_272</t>
  </si>
  <si>
    <t>Poço_AR_275</t>
  </si>
  <si>
    <t>Poço_AR_277</t>
  </si>
  <si>
    <t>Poço_AR_289</t>
  </si>
  <si>
    <t>Poço_AR_294</t>
  </si>
  <si>
    <t>Poço_AR_297</t>
  </si>
  <si>
    <t>Poço_AR_298</t>
  </si>
  <si>
    <t>Poço_AR_299</t>
  </si>
  <si>
    <t>Poço_AR_303</t>
  </si>
  <si>
    <t>Poço_AR_304</t>
  </si>
  <si>
    <t>Poço_AR_306</t>
  </si>
  <si>
    <t>Poço_AR_307</t>
  </si>
  <si>
    <t>Poço_AR_309</t>
  </si>
  <si>
    <t>Poço_AR_310</t>
  </si>
  <si>
    <t>Poço_AR_311</t>
  </si>
  <si>
    <t>Poço_AR_313</t>
  </si>
  <si>
    <t>Poço_AR_314</t>
  </si>
  <si>
    <t>Poço_AR_315</t>
  </si>
  <si>
    <t>Poço_AR_316</t>
  </si>
  <si>
    <t>Poço_AR_317</t>
  </si>
  <si>
    <t>Poço_AR_318</t>
  </si>
  <si>
    <t>Poço_AR_324</t>
  </si>
  <si>
    <t>Poço_AR_325</t>
  </si>
  <si>
    <t>Poço_BA_010</t>
  </si>
  <si>
    <t>Poço_BA_011</t>
  </si>
  <si>
    <t>Poço_BA_027</t>
  </si>
  <si>
    <t>Poço_BA_029</t>
  </si>
  <si>
    <t>Poço_BA_030</t>
  </si>
  <si>
    <t>Poço_BA_050</t>
  </si>
  <si>
    <t>Poço_BA_053</t>
  </si>
  <si>
    <t>Poço_BA_057</t>
  </si>
  <si>
    <t>Poço_BA_060</t>
  </si>
  <si>
    <t>Poço_BA_062</t>
  </si>
  <si>
    <t>Poço_BA_065</t>
  </si>
  <si>
    <t>Poço_BA_068</t>
  </si>
  <si>
    <t>Poço_BA_069</t>
  </si>
  <si>
    <t>Poço_BA_073</t>
  </si>
  <si>
    <t>Poço_BA_075</t>
  </si>
  <si>
    <t>Poço_BA_081</t>
  </si>
  <si>
    <t>Poço_BA_092</t>
  </si>
  <si>
    <t>Poço_BA_093</t>
  </si>
  <si>
    <t>Poço_BA_094</t>
  </si>
  <si>
    <t>Poço_BA_099</t>
  </si>
  <si>
    <t>Poço_BA_100</t>
  </si>
  <si>
    <t>Poço_BA_103</t>
  </si>
  <si>
    <t>Poço_BA_104</t>
  </si>
  <si>
    <t>Poço_BA_113</t>
  </si>
  <si>
    <t>Poço_BA_116</t>
  </si>
  <si>
    <t>Poço_BA_117</t>
  </si>
  <si>
    <t>Poço_BA_118</t>
  </si>
  <si>
    <t>Poço_BA_122</t>
  </si>
  <si>
    <t>Poço_BA_124</t>
  </si>
  <si>
    <t>Poço_BA_127</t>
  </si>
  <si>
    <t>Poço_BA_128</t>
  </si>
  <si>
    <t>Poço_BA_129</t>
  </si>
  <si>
    <t>Poço_BA_130</t>
  </si>
  <si>
    <t>Poço_BA_132</t>
  </si>
  <si>
    <t>Poço_BA_133</t>
  </si>
  <si>
    <t>Poço_BA_134</t>
  </si>
  <si>
    <t>Poço_BA_138</t>
  </si>
  <si>
    <t>Poço_BA_139</t>
  </si>
  <si>
    <t>Poço_BA_142</t>
  </si>
  <si>
    <t>Poço_BA_143</t>
  </si>
  <si>
    <t>Poço_BA_144</t>
  </si>
  <si>
    <t>Poço_BA_145</t>
  </si>
  <si>
    <t>Poço_BA_147</t>
  </si>
  <si>
    <t>Poço_BA_148</t>
  </si>
  <si>
    <t>Poço_BA_149</t>
  </si>
  <si>
    <t>Poço_BA_150</t>
  </si>
  <si>
    <t>Poço_BA_151</t>
  </si>
  <si>
    <t>Poço_BA_152</t>
  </si>
  <si>
    <t>Poço_BA_153</t>
  </si>
  <si>
    <t>Poço_BA_170</t>
  </si>
  <si>
    <t>Poço_BA_171</t>
  </si>
  <si>
    <t>Poço_BA_172</t>
  </si>
  <si>
    <t>Poço_BA_173</t>
  </si>
  <si>
    <t>Poço_BA_175</t>
  </si>
  <si>
    <t>Poço_BA_176</t>
  </si>
  <si>
    <t>Poço_BA_177</t>
  </si>
  <si>
    <t>Poço_BA_180</t>
  </si>
  <si>
    <t>Poço_BA_181</t>
  </si>
  <si>
    <t>Poço_BA_182</t>
  </si>
  <si>
    <t>Poço_BA_193</t>
  </si>
  <si>
    <t>Poço_BA_196</t>
  </si>
  <si>
    <t>Poço_BA_198</t>
  </si>
  <si>
    <t>Poço_BA_201</t>
  </si>
  <si>
    <t>Poço_BA_202</t>
  </si>
  <si>
    <t>Poço_BA_210</t>
  </si>
  <si>
    <t>Poço_BA_225</t>
  </si>
  <si>
    <t>Poço_BA_227</t>
  </si>
  <si>
    <t>Poço_BA_230</t>
  </si>
  <si>
    <t>Poço_BA_231</t>
  </si>
  <si>
    <t>Poço_BA_235</t>
  </si>
  <si>
    <t>Poço_BA_240</t>
  </si>
  <si>
    <t>Poço_BA_246</t>
  </si>
  <si>
    <t>Poço_BA_249</t>
  </si>
  <si>
    <t>Poço_BA_250</t>
  </si>
  <si>
    <t>Poço_BA_252</t>
  </si>
  <si>
    <t>Poço_BA_253</t>
  </si>
  <si>
    <t>Poço_BA_254</t>
  </si>
  <si>
    <t>Poço_BA_263</t>
  </si>
  <si>
    <t>Poço_BA_265</t>
  </si>
  <si>
    <t>Poço_BA_267</t>
  </si>
  <si>
    <t>Poço_BA_268</t>
  </si>
  <si>
    <t>Poço_BA_269</t>
  </si>
  <si>
    <t>Poço_BA_274</t>
  </si>
  <si>
    <t>Poço_BA_275</t>
  </si>
  <si>
    <t>Poço_BA_276</t>
  </si>
  <si>
    <t>Poço_BA_277</t>
  </si>
  <si>
    <t>Poço_BA_278</t>
  </si>
  <si>
    <t>Poço_BA_284</t>
  </si>
  <si>
    <t>Poço_BA_289</t>
  </si>
  <si>
    <t>Poço_BA_291</t>
  </si>
  <si>
    <t>Poço_BA_296</t>
  </si>
  <si>
    <t>Poço_BA_297</t>
  </si>
  <si>
    <t>Poço_BA_298</t>
  </si>
  <si>
    <t>Poço_BA_302</t>
  </si>
  <si>
    <t>Poço_BA_304</t>
  </si>
  <si>
    <t>Poço_BA_307</t>
  </si>
  <si>
    <t>Poço_BA_308</t>
  </si>
  <si>
    <t>Poço_BA_312</t>
  </si>
  <si>
    <t>Poço_BA_314</t>
  </si>
  <si>
    <t>Poço_BA_319</t>
  </si>
  <si>
    <t>Poço_BA_324</t>
  </si>
  <si>
    <t>Poço_BA_329</t>
  </si>
  <si>
    <t>Poço_BA_333</t>
  </si>
  <si>
    <t>Poço_BA_334</t>
  </si>
  <si>
    <t>Poço_BA_336</t>
  </si>
  <si>
    <t>Poço_BA_339</t>
  </si>
  <si>
    <t>Poço_BA_340</t>
  </si>
  <si>
    <t>Poço_BA_341</t>
  </si>
  <si>
    <t>Poço_BA_342</t>
  </si>
  <si>
    <t>Poço_BA_345</t>
  </si>
  <si>
    <t>Poço_BA_346</t>
  </si>
  <si>
    <t>Poço_BA_347</t>
  </si>
  <si>
    <t>Poço_BA_348</t>
  </si>
  <si>
    <t>Poço_BA_349</t>
  </si>
  <si>
    <t>Poço_BA_354</t>
  </si>
  <si>
    <t>Poço_BA_355</t>
  </si>
  <si>
    <t>Poço_BA_356</t>
  </si>
  <si>
    <t>Poço_BA_357</t>
  </si>
  <si>
    <t>Poço_BA_360</t>
  </si>
  <si>
    <t>Poço_BA_362</t>
  </si>
  <si>
    <t>Poço_BA_364</t>
  </si>
  <si>
    <t>Poço_BA_368</t>
  </si>
  <si>
    <t>Poço_BA_369</t>
  </si>
  <si>
    <t>Poço_BA_370</t>
  </si>
  <si>
    <t>Poço_BA_371</t>
  </si>
  <si>
    <t>Poço_BA_372</t>
  </si>
  <si>
    <t>Poço_BA_373</t>
  </si>
  <si>
    <t>Poço_BA_374</t>
  </si>
  <si>
    <t>Poço_BA_375</t>
  </si>
  <si>
    <t>Poço_BA_377</t>
  </si>
  <si>
    <t>Poço_BA_378</t>
  </si>
  <si>
    <t>Poço_BA_379</t>
  </si>
  <si>
    <t>Poço_BA_382</t>
  </si>
  <si>
    <t>Poço_BA_385</t>
  </si>
  <si>
    <t>Poço_BA_387</t>
  </si>
  <si>
    <t>Poço_BA_388</t>
  </si>
  <si>
    <t>Poço_BA_389</t>
  </si>
  <si>
    <t>Poço_BA_390</t>
  </si>
  <si>
    <t>Poço_BA_391</t>
  </si>
  <si>
    <t>Poço_BA_392</t>
  </si>
  <si>
    <t>Poço_BA_393</t>
  </si>
  <si>
    <t>Poço_BA_394</t>
  </si>
  <si>
    <t>Poço_BA_395</t>
  </si>
  <si>
    <t>Poço_BA_397</t>
  </si>
  <si>
    <t>Poço_BA_398</t>
  </si>
  <si>
    <t>Poço_BA_399</t>
  </si>
  <si>
    <t>Poço_BA_400</t>
  </si>
  <si>
    <t>Poço_BA_402</t>
  </si>
  <si>
    <t>Poço_BA_406</t>
  </si>
  <si>
    <t>Poço_BA_407</t>
  </si>
  <si>
    <t>Poço_BA_408</t>
  </si>
  <si>
    <t>Poço_BA_410</t>
  </si>
  <si>
    <t>Poço_BA_411</t>
  </si>
  <si>
    <t>Poço_BA_412</t>
  </si>
  <si>
    <t>Poço_BA_413</t>
  </si>
  <si>
    <t>Poço_BA_414</t>
  </si>
  <si>
    <t>Poço_BA_415</t>
  </si>
  <si>
    <t>Poço_BA_416</t>
  </si>
  <si>
    <t>Poço_BA_418</t>
  </si>
  <si>
    <t>Poço_BA_FP_018</t>
  </si>
  <si>
    <t>Poço_CER_014</t>
  </si>
  <si>
    <t>Poço_CRP_01</t>
  </si>
  <si>
    <t>Poço_FAV_009</t>
  </si>
  <si>
    <t>Poço_FAV_022</t>
  </si>
  <si>
    <t>Poço_FAV_024</t>
  </si>
  <si>
    <t>Poço_FAV_036</t>
  </si>
  <si>
    <t>Poço_FAV_037</t>
  </si>
  <si>
    <t>Poço_FAV_038</t>
  </si>
  <si>
    <t>Poço_FAV_059</t>
  </si>
  <si>
    <t>Poço_FAV_075</t>
  </si>
  <si>
    <t>Poço_FAV_088</t>
  </si>
  <si>
    <t>Poço_FAV_109</t>
  </si>
  <si>
    <t>Poço_FAV_123</t>
  </si>
  <si>
    <t>Poço_FBE_003</t>
  </si>
  <si>
    <t>Poço_FBE_008</t>
  </si>
  <si>
    <t>Poço_FBE_010</t>
  </si>
  <si>
    <t>Poço_FBE_011</t>
  </si>
  <si>
    <t>Poço_FBE_015</t>
  </si>
  <si>
    <t>Poço_FBE_016</t>
  </si>
  <si>
    <t>Poço_FBE_018</t>
  </si>
  <si>
    <t>Poço_FBE_019</t>
  </si>
  <si>
    <t>Poço_FBE_021</t>
  </si>
  <si>
    <t>Poço_FBE_022</t>
  </si>
  <si>
    <t>Poço_FBE_023</t>
  </si>
  <si>
    <t>Poço_FBE_024</t>
  </si>
  <si>
    <t>Poço_FBE_026</t>
  </si>
  <si>
    <t>Poço_FBE_029</t>
  </si>
  <si>
    <t>Poço_FBE_031</t>
  </si>
  <si>
    <t>Poço_FBE_034</t>
  </si>
  <si>
    <t>Poço_FBE_035</t>
  </si>
  <si>
    <t>Poço_FBE_046</t>
  </si>
  <si>
    <t>Poço_FBE_047</t>
  </si>
  <si>
    <t>Poço_FBE_050</t>
  </si>
  <si>
    <t>Poço_FBE_051</t>
  </si>
  <si>
    <t>Poço_FBE_052</t>
  </si>
  <si>
    <t>Poço_FBE_40</t>
  </si>
  <si>
    <t>Poço_FBE_48</t>
  </si>
  <si>
    <t>Poço_FBE_49</t>
  </si>
  <si>
    <t>Poço_FBE_53</t>
  </si>
  <si>
    <t>Poço_FBE_54</t>
  </si>
  <si>
    <t>Poço_FBE_55</t>
  </si>
  <si>
    <t>Poço_FBE_56</t>
  </si>
  <si>
    <t>Poço_FBE_57</t>
  </si>
  <si>
    <t>Poço_FBM_003_NORTE</t>
  </si>
  <si>
    <t>Poço_FBM_009_NORTE</t>
  </si>
  <si>
    <t>Poço_FBM_011_NORTE</t>
  </si>
  <si>
    <t>Poço_FBM_027_SUL</t>
  </si>
  <si>
    <t>Poço_FBM_028_NORTE</t>
  </si>
  <si>
    <t>Poço_FBM_031_NORTE</t>
  </si>
  <si>
    <t>Poço_FBM_034_NORTE</t>
  </si>
  <si>
    <t>Poço_FBM_035_NORTE</t>
  </si>
  <si>
    <t>Poço_FBM_037_NORTE</t>
  </si>
  <si>
    <t>Poço_FBM_038_NORTE</t>
  </si>
  <si>
    <t>Poço_FBM_042_SUL</t>
  </si>
  <si>
    <t>Poço_FBM_045_SUL</t>
  </si>
  <si>
    <t>Poço_FBM_047_SUL</t>
  </si>
  <si>
    <t>Poço_FBM_050_NORTE</t>
  </si>
  <si>
    <t>Poço_FBM_055_NORTE</t>
  </si>
  <si>
    <t>Poço_FBM_061_NORTE</t>
  </si>
  <si>
    <t>Poço_FBM_067_NORTE</t>
  </si>
  <si>
    <t>Poço_FBM_070_NORTE</t>
  </si>
  <si>
    <t>Poço_FBM_071_NORTE</t>
  </si>
  <si>
    <t>Poço_FBM_072_NORTE</t>
  </si>
  <si>
    <t>Poço_FBM_074_NORTE</t>
  </si>
  <si>
    <t>Poço_FBM_075_NORTE</t>
  </si>
  <si>
    <t>Poço_FBM_076_NORTE</t>
  </si>
  <si>
    <t>Poço_FBM_079_NORTE</t>
  </si>
  <si>
    <t>Poço_FBM_085_NORTE</t>
  </si>
  <si>
    <t>Poço_FBM_086_NORTE</t>
  </si>
  <si>
    <t>Poço_FBM_088_NORTE</t>
  </si>
  <si>
    <t>Poço_FBM_090_NORTE</t>
  </si>
  <si>
    <t>Poço_FBM_091_NORTE</t>
  </si>
  <si>
    <t>Poço_FBM_095_NORTE</t>
  </si>
  <si>
    <t>Poço_FBM_098_SUL</t>
  </si>
  <si>
    <t>Poço_FBM_100_NORTE</t>
  </si>
  <si>
    <t>Poço_FBM_104_SUL</t>
  </si>
  <si>
    <t>Poço_FBM_112_NORTE</t>
  </si>
  <si>
    <t>Poço_FBM_115_NORTE</t>
  </si>
  <si>
    <t>Poço_FBM_120_NORTE</t>
  </si>
  <si>
    <t>Poço_FBM_125_NORTE</t>
  </si>
  <si>
    <t>Poço_FBM_132_NORTE</t>
  </si>
  <si>
    <t>Poço_FBM_134_NORTE</t>
  </si>
  <si>
    <t>Poço_FBM_138_NORTE</t>
  </si>
  <si>
    <t>Poço_FBM_140_NORTE</t>
  </si>
  <si>
    <t>Poço_FBM_151</t>
  </si>
  <si>
    <t>Poço_FBM_154_NORTE</t>
  </si>
  <si>
    <t>Poço_FBM_155_NORTE</t>
  </si>
  <si>
    <t>Poço_FBM_163_SUL</t>
  </si>
  <si>
    <t>Poço_FBM_165_SUL</t>
  </si>
  <si>
    <t>Poço_FBM_167_NORTE</t>
  </si>
  <si>
    <t>Poço_FBM_170_NORTE</t>
  </si>
  <si>
    <t>Poço_FBM_171</t>
  </si>
  <si>
    <t>Poço_FBM_171_NORTE</t>
  </si>
  <si>
    <t>Poço_FBM_173_NORTE</t>
  </si>
  <si>
    <t>Poço_FBM_177_SUL</t>
  </si>
  <si>
    <t>Poço_FBM_182_NORTE</t>
  </si>
  <si>
    <t>Poço_FBM_188_SUL</t>
  </si>
  <si>
    <t>Poço_FBM_190_SUL</t>
  </si>
  <si>
    <t>Poço_FBM_196_NORTE</t>
  </si>
  <si>
    <t>Poço_FBM_197_NORTE</t>
  </si>
  <si>
    <t>Poço_FBM_198_NORTE</t>
  </si>
  <si>
    <t>Poço_FBM_199_NORTE</t>
  </si>
  <si>
    <t>Poço_FBM_200</t>
  </si>
  <si>
    <t>Poço_FBM_204_NORTE</t>
  </si>
  <si>
    <t>Poço_FBM_205_NORTE</t>
  </si>
  <si>
    <t>Poço_FBM_207_NORTE</t>
  </si>
  <si>
    <t>Poço_FBM_209_NORTE</t>
  </si>
  <si>
    <t>Poço_FBM_213_NORTE</t>
  </si>
  <si>
    <t>Poço_FBM_214_NORTE</t>
  </si>
  <si>
    <t>Poço_FBM_215_NORTE</t>
  </si>
  <si>
    <t>Poço_FBM_216_NORTE</t>
  </si>
  <si>
    <t>Poço_FBM_220_NORTE</t>
  </si>
  <si>
    <t>Poço_FBM_221</t>
  </si>
  <si>
    <t>Poço_FBM_228_NORTE</t>
  </si>
  <si>
    <t>Poço_FBM_229_NORTE</t>
  </si>
  <si>
    <t>Poço_FBM_230_NORTE</t>
  </si>
  <si>
    <t>Poço_FBM_231_NORTE</t>
  </si>
  <si>
    <t>Poço_FBM_232_SUL</t>
  </si>
  <si>
    <t>Poço_FBM_233_E_234</t>
  </si>
  <si>
    <t>Poço_FBM_235_NORTE</t>
  </si>
  <si>
    <t>Poço_FBM_237_SUL</t>
  </si>
  <si>
    <t>Poço_FBM_239_SUL</t>
  </si>
  <si>
    <t>Poço_FBM_241_NORTE</t>
  </si>
  <si>
    <t>Poço_FBM_SUL_004</t>
  </si>
  <si>
    <t>Poço_FBM_SUL_007</t>
  </si>
  <si>
    <t>Poço_FI_051</t>
  </si>
  <si>
    <t>Poço_FI_052</t>
  </si>
  <si>
    <t>Poço_FI_064</t>
  </si>
  <si>
    <t>Poço_FI_068</t>
  </si>
  <si>
    <t>Poço_FI_073</t>
  </si>
  <si>
    <t>Poço_FI_074</t>
  </si>
  <si>
    <t>Poço_FI_091</t>
  </si>
  <si>
    <t>Poço_FI_093</t>
  </si>
  <si>
    <t>Poço_FP_017</t>
  </si>
  <si>
    <t>Poço_FP_019</t>
  </si>
  <si>
    <t>Poço_FP_028</t>
  </si>
  <si>
    <t>Poço_FP_029</t>
  </si>
  <si>
    <t>Poço_FP_030</t>
  </si>
  <si>
    <t>Poço_FP_036</t>
  </si>
  <si>
    <t>Poço_FP_037</t>
  </si>
  <si>
    <t>Poço_FP_039</t>
  </si>
  <si>
    <t>Poço_GLI_ACK_162</t>
  </si>
  <si>
    <t>Poço_GLI_ACK_199</t>
  </si>
  <si>
    <t>Poço_GLI_ACK_216</t>
  </si>
  <si>
    <t>Poço_GLI_ACK_257</t>
  </si>
  <si>
    <t>Poço_GLI_ACK_266</t>
  </si>
  <si>
    <t>Poço_GLI_ACK_269</t>
  </si>
  <si>
    <t>Poço_GLI_ACK_288</t>
  </si>
  <si>
    <t>Poço_GLI_ACK_289</t>
  </si>
  <si>
    <t>Poço_GLI_ACK_291</t>
  </si>
  <si>
    <t>Poço_GLI_TQ_190</t>
  </si>
  <si>
    <t>Poço_GLI_TQE_027</t>
  </si>
  <si>
    <t>Poço_GLI_TQE_046</t>
  </si>
  <si>
    <t>Poço_GLI_TQE_077</t>
  </si>
  <si>
    <t>Poço_GLI_TQE_083</t>
  </si>
  <si>
    <t>Poço_GLI_TQE_099</t>
  </si>
  <si>
    <t>Poço_GLI_TQE_123</t>
  </si>
  <si>
    <t>Poço_GLI_TQE_129</t>
  </si>
  <si>
    <t>Poço_GLI_TQE_131</t>
  </si>
  <si>
    <t>Poço_GLI_TQE_136</t>
  </si>
  <si>
    <t>Poço_GLI_TQE_138</t>
  </si>
  <si>
    <t>Poço_GLI_TQE_140</t>
  </si>
  <si>
    <t>Poço_GLI_TQE_146</t>
  </si>
  <si>
    <t>Poço_GLI_TQE_155</t>
  </si>
  <si>
    <t>Poço_GLI_TQE_157</t>
  </si>
  <si>
    <t>Poço_ICB_01</t>
  </si>
  <si>
    <t>Poço_ICB_02</t>
  </si>
  <si>
    <t>Poço_IMT_01</t>
  </si>
  <si>
    <t>Poço_IMT_03</t>
  </si>
  <si>
    <t>Poço_IMT_04</t>
  </si>
  <si>
    <t>Poço_JND_003</t>
  </si>
  <si>
    <t>Poço_JND_005</t>
  </si>
  <si>
    <t>Poço_JND_010</t>
  </si>
  <si>
    <t>Poço_JND_013</t>
  </si>
  <si>
    <t>Poço_JND_014</t>
  </si>
  <si>
    <t>Poço_JND_017</t>
  </si>
  <si>
    <t>Poço_JND_021</t>
  </si>
  <si>
    <t>Poço_JND_028</t>
  </si>
  <si>
    <t>Poço_JND_039</t>
  </si>
  <si>
    <t>Poço_JND_044</t>
  </si>
  <si>
    <t>Poço_JND_046</t>
  </si>
  <si>
    <t>Poço_LUC_01</t>
  </si>
  <si>
    <t>Poço_LUC_03</t>
  </si>
  <si>
    <t>Poço_LUC_04</t>
  </si>
  <si>
    <t>Poço_LUC_05</t>
  </si>
  <si>
    <t>Poço_LUC_06</t>
  </si>
  <si>
    <t>Poço_LUC_07</t>
  </si>
  <si>
    <t>Poço_LUC_08</t>
  </si>
  <si>
    <t>Poço_LUC_09</t>
  </si>
  <si>
    <t>Poço_LUC_10</t>
  </si>
  <si>
    <t>Poço_LUC_17</t>
  </si>
  <si>
    <t>Poço_LUC_20</t>
  </si>
  <si>
    <t>Poço_LUC_22</t>
  </si>
  <si>
    <t>Poço_LUC_24</t>
  </si>
  <si>
    <t>Poço_LUC_25</t>
  </si>
  <si>
    <t>Poço_LUC_27</t>
  </si>
  <si>
    <t>Poço_LUC_29</t>
  </si>
  <si>
    <t>Poço_LUC_30</t>
  </si>
  <si>
    <t>Poço_LUC_31</t>
  </si>
  <si>
    <t>Poço_LUC_32</t>
  </si>
  <si>
    <t>Poço_LUC_34</t>
  </si>
  <si>
    <t>Poço_LUC_35</t>
  </si>
  <si>
    <t>Poço_LUC_36</t>
  </si>
  <si>
    <t>Poço_LUC_37</t>
  </si>
  <si>
    <t>Poço_LUC_38</t>
  </si>
  <si>
    <t>Poço_LUC_39</t>
  </si>
  <si>
    <t>Poço_LUC_40</t>
  </si>
  <si>
    <t>Poço_LUC_41</t>
  </si>
  <si>
    <t>Poço_LUC_42</t>
  </si>
  <si>
    <t>Poço_LUC_50</t>
  </si>
  <si>
    <t>Poço_LUC_52</t>
  </si>
  <si>
    <t>Poço_LUC_59</t>
  </si>
  <si>
    <t>Poço_LUC_61</t>
  </si>
  <si>
    <t>Poço_LUC_69</t>
  </si>
  <si>
    <t>Poço_LUC_73</t>
  </si>
  <si>
    <t>Poço_LUC_77</t>
  </si>
  <si>
    <t>Poço_LUC_78</t>
  </si>
  <si>
    <t>Poço_LUC_80</t>
  </si>
  <si>
    <t>Poço_LUC_84</t>
  </si>
  <si>
    <t>Poço_LUC_86</t>
  </si>
  <si>
    <t>Poço_LUC_88</t>
  </si>
  <si>
    <t>Poço_LUC_90</t>
  </si>
  <si>
    <t>Poço_LUC_91</t>
  </si>
  <si>
    <t>Poço_MALOMBE_037</t>
  </si>
  <si>
    <t>Poço_MM_01</t>
  </si>
  <si>
    <t>Poço_MP_015</t>
  </si>
  <si>
    <t>Poço_MP_020</t>
  </si>
  <si>
    <t>Poço_MP_022</t>
  </si>
  <si>
    <t>Poço_MP_023</t>
  </si>
  <si>
    <t>Poço_MP_029</t>
  </si>
  <si>
    <t>Poço_MP_031</t>
  </si>
  <si>
    <t>Poço_RBU_003</t>
  </si>
  <si>
    <t>Poço_RBU_008</t>
  </si>
  <si>
    <t>Poço_RBU_019</t>
  </si>
  <si>
    <t>Poço_RBU_040</t>
  </si>
  <si>
    <t>Poço_RBU_046</t>
  </si>
  <si>
    <t>Poço_RBU_053</t>
  </si>
  <si>
    <t>Poço_RBU_059</t>
  </si>
  <si>
    <t>Poço_RBU_092</t>
  </si>
  <si>
    <t>Poço_RBU_093</t>
  </si>
  <si>
    <t>Poço_RBU_096</t>
  </si>
  <si>
    <t>Poço_RBU_099</t>
  </si>
  <si>
    <t>Poço_RBU_100</t>
  </si>
  <si>
    <t>Poço_RBU_101</t>
  </si>
  <si>
    <t>Poço_RBU_102</t>
  </si>
  <si>
    <t>Poço_RBU_107_E_108</t>
  </si>
  <si>
    <t>Poço_RBU_109</t>
  </si>
  <si>
    <t>Poço_RCB_007</t>
  </si>
  <si>
    <t>Poço_RCB_008</t>
  </si>
  <si>
    <t>Poço_RCB_011</t>
  </si>
  <si>
    <t>Poço_RCB_021</t>
  </si>
  <si>
    <t>Poço_RCB_022</t>
  </si>
  <si>
    <t>Poço_RCB_035</t>
  </si>
  <si>
    <t>Poço_RCB_038</t>
  </si>
  <si>
    <t>Poço_RCB_039</t>
  </si>
  <si>
    <t>Poço_RCB_040</t>
  </si>
  <si>
    <t>Poço_RCB_046</t>
  </si>
  <si>
    <t>Poço_RCB_047</t>
  </si>
  <si>
    <t>Poço_RCB_049</t>
  </si>
  <si>
    <t>Poço_RCB_063</t>
  </si>
  <si>
    <t>Poço_RCB_067</t>
  </si>
  <si>
    <t>Poço_RCB_070</t>
  </si>
  <si>
    <t>Poço_RCB_073</t>
  </si>
  <si>
    <t>Poço_RI_006</t>
  </si>
  <si>
    <t>Poço_RI_007</t>
  </si>
  <si>
    <t>Poço_RI_014</t>
  </si>
  <si>
    <t>Poço_RI_015</t>
  </si>
  <si>
    <t>Poço_RI_023</t>
  </si>
  <si>
    <t>Poço_RI_029</t>
  </si>
  <si>
    <t>Poço_RI_035</t>
  </si>
  <si>
    <t>Poço_RI_26</t>
  </si>
  <si>
    <t>Poço_RI_36</t>
  </si>
  <si>
    <t>Poço_ROU_014</t>
  </si>
  <si>
    <t>Poço_ROU_015</t>
  </si>
  <si>
    <t>Poço_ROU_020</t>
  </si>
  <si>
    <t>Poço_RUC_01</t>
  </si>
  <si>
    <t>Poço_RUC_02</t>
  </si>
  <si>
    <t>Poço_RUC_03</t>
  </si>
  <si>
    <t>Poço_RUC_06</t>
  </si>
  <si>
    <t>Poço_RUC_08</t>
  </si>
  <si>
    <t>Poço_RUC_10</t>
  </si>
  <si>
    <t>Poço_RUC_100</t>
  </si>
  <si>
    <t>Poço_RUC_102</t>
  </si>
  <si>
    <t>Poço_RUC_103</t>
  </si>
  <si>
    <t>Poço_RUC_108</t>
  </si>
  <si>
    <t>Poço_RUC_110</t>
  </si>
  <si>
    <t>Poço_RUC_112</t>
  </si>
  <si>
    <t>Poço_RUC_15</t>
  </si>
  <si>
    <t>Poço_RUC_16</t>
  </si>
  <si>
    <t>Poço_RUC_18</t>
  </si>
  <si>
    <t>Poço_RUC_24</t>
  </si>
  <si>
    <t>Poço_RUC_26</t>
  </si>
  <si>
    <t>Poço_RUC_29</t>
  </si>
  <si>
    <t>Poço_RUC_34</t>
  </si>
  <si>
    <t>Poço_RUC_39</t>
  </si>
  <si>
    <t>Poço_RUC_41</t>
  </si>
  <si>
    <t>Poço_RUC_42</t>
  </si>
  <si>
    <t>Poço_RUC_48</t>
  </si>
  <si>
    <t>Poço_RUC_49</t>
  </si>
  <si>
    <t>Poço_RUC_54</t>
  </si>
  <si>
    <t>Poço_RUC_59</t>
  </si>
  <si>
    <t>Poço_RUC_67</t>
  </si>
  <si>
    <t>Poço_RUC_77</t>
  </si>
  <si>
    <t>Poço_RUC_79</t>
  </si>
  <si>
    <t>Poço_RUC_85</t>
  </si>
  <si>
    <t>Poço_RUC_90</t>
  </si>
  <si>
    <t>Poço_S_MP_002_E_MP_024</t>
  </si>
  <si>
    <t>Poço_SG_011</t>
  </si>
  <si>
    <t>Poço_SG_014</t>
  </si>
  <si>
    <t>Poço_SG_015</t>
  </si>
  <si>
    <t>Poço_SG_019</t>
  </si>
  <si>
    <t>Poço_SG_04</t>
  </si>
  <si>
    <t>Poço_SG_05</t>
  </si>
  <si>
    <t>Poço_SG_07</t>
  </si>
  <si>
    <t>Poço_SG_09</t>
  </si>
  <si>
    <t>Poço_SMT_02</t>
  </si>
  <si>
    <t>Poço_SMT_03</t>
  </si>
  <si>
    <t>Poço_SRC_002</t>
  </si>
  <si>
    <t>Poço_SRC_003</t>
  </si>
  <si>
    <t>Poço_SUC_01</t>
  </si>
  <si>
    <t>Poço_SUC_03</t>
  </si>
  <si>
    <t>Poço_SUC_05</t>
  </si>
  <si>
    <t>Poço_SUC_06</t>
  </si>
  <si>
    <t>Poço_TQE_168</t>
  </si>
  <si>
    <t>Poço_TQE_170</t>
  </si>
  <si>
    <t>Poço_TQE_174</t>
  </si>
  <si>
    <t>Poço_TQE_177</t>
  </si>
  <si>
    <t>Poço_TQE_182</t>
  </si>
  <si>
    <t>Poço_TQE_184</t>
  </si>
  <si>
    <t>Poço_TQE_185</t>
  </si>
  <si>
    <t>Poço_TQE_187</t>
  </si>
  <si>
    <t>Poço_TQE_189</t>
  </si>
  <si>
    <t>POL</t>
  </si>
  <si>
    <t>Posição_BA_15</t>
  </si>
  <si>
    <t>Posição_BA_17</t>
  </si>
  <si>
    <t>Posição_BA_18</t>
  </si>
  <si>
    <t>Posição_CE_02</t>
  </si>
  <si>
    <t>Posição_ES_01</t>
  </si>
  <si>
    <t>Posição_RN_03</t>
  </si>
  <si>
    <t>Posição_SE_01</t>
  </si>
  <si>
    <t>Poste_13_JR/1</t>
  </si>
  <si>
    <t>Poste_14_JB/2</t>
  </si>
  <si>
    <t>Poste_16LF/A1</t>
  </si>
  <si>
    <t>Poste_19LK</t>
  </si>
  <si>
    <t>Poste_24_JV/1</t>
  </si>
  <si>
    <t>Poste_28LH</t>
  </si>
  <si>
    <t>Poste_29LF/19_2</t>
  </si>
  <si>
    <t>Poste_32LH</t>
  </si>
  <si>
    <t>Poste_32LH/19</t>
  </si>
  <si>
    <t>Poste_41JB</t>
  </si>
  <si>
    <t>Poste_46_JV</t>
  </si>
  <si>
    <t>Poste_64LF/1</t>
  </si>
  <si>
    <t>Poste_65LK</t>
  </si>
  <si>
    <t>Poste_66JJ</t>
  </si>
  <si>
    <t>PPCE</t>
  </si>
  <si>
    <t>PPE1</t>
  </si>
  <si>
    <t>PPE1A</t>
  </si>
  <si>
    <t>PPE2</t>
  </si>
  <si>
    <t>PPG1</t>
  </si>
  <si>
    <t>PPM1</t>
  </si>
  <si>
    <t>PPO</t>
  </si>
  <si>
    <t>PRA</t>
  </si>
  <si>
    <t>PRA1</t>
  </si>
  <si>
    <t>PRA2</t>
  </si>
  <si>
    <t>PREA</t>
  </si>
  <si>
    <t>PRI</t>
  </si>
  <si>
    <t>PRU</t>
  </si>
  <si>
    <t>PSP</t>
  </si>
  <si>
    <t>PUU</t>
  </si>
  <si>
    <t>PVM1</t>
  </si>
  <si>
    <t>PVM2</t>
  </si>
  <si>
    <t>PVM3</t>
  </si>
  <si>
    <t>PXA1</t>
  </si>
  <si>
    <t>PXA-1</t>
  </si>
  <si>
    <t>PXA2</t>
  </si>
  <si>
    <t>PXA3</t>
  </si>
  <si>
    <t>Queluzito</t>
  </si>
  <si>
    <t>QUI</t>
  </si>
  <si>
    <t>RAL</t>
  </si>
  <si>
    <t>RBU</t>
  </si>
  <si>
    <t>RCAU</t>
  </si>
  <si>
    <t>RIRI</t>
  </si>
  <si>
    <t>RJO</t>
  </si>
  <si>
    <t>RLAM - MTRI</t>
  </si>
  <si>
    <t>RLAM - UTE CELSO FURTADO</t>
  </si>
  <si>
    <t>ROI</t>
  </si>
  <si>
    <t>RPO</t>
  </si>
  <si>
    <t>RSA</t>
  </si>
  <si>
    <t>RTQE</t>
  </si>
  <si>
    <t>SAJ</t>
  </si>
  <si>
    <t>SAO</t>
  </si>
  <si>
    <t>SAR</t>
  </si>
  <si>
    <t>Saracuruna</t>
  </si>
  <si>
    <t>SAU</t>
  </si>
  <si>
    <t>SAV</t>
  </si>
  <si>
    <t>SCE</t>
  </si>
  <si>
    <t>SCL</t>
  </si>
  <si>
    <t>SCN</t>
  </si>
  <si>
    <t>SCR</t>
  </si>
  <si>
    <t>SCY</t>
  </si>
  <si>
    <t>SDA</t>
  </si>
  <si>
    <t>SDO</t>
  </si>
  <si>
    <t>SDR</t>
  </si>
  <si>
    <t>SEA</t>
  </si>
  <si>
    <t>SEA2</t>
  </si>
  <si>
    <t>Seguary</t>
  </si>
  <si>
    <t>SEP.IMT-03H</t>
  </si>
  <si>
    <t>SEP.LUC-04C</t>
  </si>
  <si>
    <t>SEP.LUC-04G_TESTE</t>
  </si>
  <si>
    <t>SEP.LUC-04I_TESTE</t>
  </si>
  <si>
    <t>SEP.LUC-09E</t>
  </si>
  <si>
    <t>Separador.IMT-04G</t>
  </si>
  <si>
    <t>Separador.IMT-04K</t>
  </si>
  <si>
    <t>SFCO</t>
  </si>
  <si>
    <t>SFP</t>
  </si>
  <si>
    <t>SFS</t>
  </si>
  <si>
    <t>SG70202A_TESTE</t>
  </si>
  <si>
    <t>SG70202B_TESTE</t>
  </si>
  <si>
    <t>SGF-BC</t>
  </si>
  <si>
    <t>SGO</t>
  </si>
  <si>
    <t>SIA</t>
  </si>
  <si>
    <t>SJC</t>
  </si>
  <si>
    <t>SJP</t>
  </si>
  <si>
    <t>SJQ</t>
  </si>
  <si>
    <t>SKB</t>
  </si>
  <si>
    <t>SKL</t>
  </si>
  <si>
    <t>SKO</t>
  </si>
  <si>
    <t>SKR</t>
  </si>
  <si>
    <t>SLA</t>
  </si>
  <si>
    <t>SMB</t>
  </si>
  <si>
    <t>SMT</t>
  </si>
  <si>
    <t>SNC</t>
  </si>
  <si>
    <t>SND</t>
  </si>
  <si>
    <t>SNDO</t>
  </si>
  <si>
    <t>SNN</t>
  </si>
  <si>
    <t>SOS</t>
  </si>
  <si>
    <t>SOX</t>
  </si>
  <si>
    <t>SPAL</t>
  </si>
  <si>
    <t>SPS07</t>
  </si>
  <si>
    <t>SQA</t>
  </si>
  <si>
    <t>SRPU</t>
  </si>
  <si>
    <t>SRU</t>
  </si>
  <si>
    <t>SS57</t>
  </si>
  <si>
    <t>SSE</t>
  </si>
  <si>
    <t>SSL</t>
  </si>
  <si>
    <t>SSP</t>
  </si>
  <si>
    <t>STB</t>
  </si>
  <si>
    <t>STN</t>
  </si>
  <si>
    <t>STR</t>
  </si>
  <si>
    <t>STU</t>
  </si>
  <si>
    <t>STX</t>
  </si>
  <si>
    <t>SUAP</t>
  </si>
  <si>
    <t>SVI</t>
  </si>
  <si>
    <t>SVS</t>
  </si>
  <si>
    <t>SZN</t>
  </si>
  <si>
    <t>TABR</t>
  </si>
  <si>
    <t>Tanque_HBV_001</t>
  </si>
  <si>
    <t>TAQV</t>
  </si>
  <si>
    <t>TASSU</t>
  </si>
  <si>
    <t>TBE</t>
  </si>
  <si>
    <t>TBE2</t>
  </si>
  <si>
    <t>TBO</t>
  </si>
  <si>
    <t>TCE</t>
  </si>
  <si>
    <t>TDS</t>
  </si>
  <si>
    <t>TDS2</t>
  </si>
  <si>
    <t>TGZ</t>
  </si>
  <si>
    <t>TJF</t>
  </si>
  <si>
    <t>TL21</t>
  </si>
  <si>
    <t>TLS</t>
  </si>
  <si>
    <t>TMIB</t>
  </si>
  <si>
    <t>TMO</t>
  </si>
  <si>
    <t>TP11</t>
  </si>
  <si>
    <t>TP110</t>
  </si>
  <si>
    <t>TP112</t>
  </si>
  <si>
    <t>TP114</t>
  </si>
  <si>
    <t>TP115</t>
  </si>
  <si>
    <t>TP116</t>
  </si>
  <si>
    <t>TP118</t>
  </si>
  <si>
    <t>TP120</t>
  </si>
  <si>
    <t>TP127</t>
  </si>
  <si>
    <t>TP128</t>
  </si>
  <si>
    <t>TP131</t>
  </si>
  <si>
    <t>TP136</t>
  </si>
  <si>
    <t>TP140</t>
  </si>
  <si>
    <t>TP142</t>
  </si>
  <si>
    <t>TP143</t>
  </si>
  <si>
    <t>TP145</t>
  </si>
  <si>
    <t>TP146</t>
  </si>
  <si>
    <t>TP15</t>
  </si>
  <si>
    <t>TP154</t>
  </si>
  <si>
    <t>TP16</t>
  </si>
  <si>
    <t>TP19</t>
  </si>
  <si>
    <t>TP213</t>
  </si>
  <si>
    <t>TP214</t>
  </si>
  <si>
    <t>TP215</t>
  </si>
  <si>
    <t>TP219</t>
  </si>
  <si>
    <t>TP220</t>
  </si>
  <si>
    <t>TP221</t>
  </si>
  <si>
    <t>TP222</t>
  </si>
  <si>
    <t>TP224</t>
  </si>
  <si>
    <t>TP23</t>
  </si>
  <si>
    <t>TP230</t>
  </si>
  <si>
    <t>TP231</t>
  </si>
  <si>
    <t>TP235</t>
  </si>
  <si>
    <t>TP244</t>
  </si>
  <si>
    <t>TP245</t>
  </si>
  <si>
    <t>TP246</t>
  </si>
  <si>
    <t>TP247</t>
  </si>
  <si>
    <t>TP248</t>
  </si>
  <si>
    <t>TP249</t>
  </si>
  <si>
    <t>TP27</t>
  </si>
  <si>
    <t>TP304</t>
  </si>
  <si>
    <t>TP314</t>
  </si>
  <si>
    <t>TP315</t>
  </si>
  <si>
    <t>TP316</t>
  </si>
  <si>
    <t>TP317</t>
  </si>
  <si>
    <t>TP318</t>
  </si>
  <si>
    <t>TP319</t>
  </si>
  <si>
    <t>TP320</t>
  </si>
  <si>
    <t>TP321</t>
  </si>
  <si>
    <t>TP322</t>
  </si>
  <si>
    <t>TP327</t>
  </si>
  <si>
    <t>TP328</t>
  </si>
  <si>
    <t>TP329</t>
  </si>
  <si>
    <t>TP330</t>
  </si>
  <si>
    <t>TP331</t>
  </si>
  <si>
    <t>TP34</t>
  </si>
  <si>
    <t>TP410</t>
  </si>
  <si>
    <t>TP411</t>
  </si>
  <si>
    <t>TP412</t>
  </si>
  <si>
    <t>TP413</t>
  </si>
  <si>
    <t>TP414</t>
  </si>
  <si>
    <t>TP415</t>
  </si>
  <si>
    <t>TP416</t>
  </si>
  <si>
    <t>TP417</t>
  </si>
  <si>
    <t>TP418</t>
  </si>
  <si>
    <t>TP419</t>
  </si>
  <si>
    <t>TP42</t>
  </si>
  <si>
    <t>TP420</t>
  </si>
  <si>
    <t>TP421</t>
  </si>
  <si>
    <t>TP422</t>
  </si>
  <si>
    <t>TP423</t>
  </si>
  <si>
    <t>TP427</t>
  </si>
  <si>
    <t>TP428</t>
  </si>
  <si>
    <t>TP43</t>
  </si>
  <si>
    <t>TP44</t>
  </si>
  <si>
    <t>TP45</t>
  </si>
  <si>
    <t>TP46</t>
  </si>
  <si>
    <t>TP47</t>
  </si>
  <si>
    <t>TP48</t>
  </si>
  <si>
    <t>TP49</t>
  </si>
  <si>
    <t>TP502</t>
  </si>
  <si>
    <t>TP503</t>
  </si>
  <si>
    <t>TP504</t>
  </si>
  <si>
    <t>TP505</t>
  </si>
  <si>
    <t>TP506</t>
  </si>
  <si>
    <t>TP507</t>
  </si>
  <si>
    <t>TP508</t>
  </si>
  <si>
    <t>TP509</t>
  </si>
  <si>
    <t>TP515</t>
  </si>
  <si>
    <t>TP517</t>
  </si>
  <si>
    <t>TP518</t>
  </si>
  <si>
    <t>TP519</t>
  </si>
  <si>
    <t>TP520</t>
  </si>
  <si>
    <t>TP522</t>
  </si>
  <si>
    <t>TP524</t>
  </si>
  <si>
    <t>TP529</t>
  </si>
  <si>
    <t>TP531</t>
  </si>
  <si>
    <t>TP532</t>
  </si>
  <si>
    <t>TP533</t>
  </si>
  <si>
    <t>TP534</t>
  </si>
  <si>
    <t>TP537</t>
  </si>
  <si>
    <t>TP538</t>
  </si>
  <si>
    <t>TP539</t>
  </si>
  <si>
    <t>TP540</t>
  </si>
  <si>
    <t>TP541</t>
  </si>
  <si>
    <t>TP542</t>
  </si>
  <si>
    <t>TP543</t>
  </si>
  <si>
    <t>TP61</t>
  </si>
  <si>
    <t>TP610</t>
  </si>
  <si>
    <t>TP611</t>
  </si>
  <si>
    <t>TP613</t>
  </si>
  <si>
    <t>TP619</t>
  </si>
  <si>
    <t>TP62</t>
  </si>
  <si>
    <t>TP620</t>
  </si>
  <si>
    <t>TP621</t>
  </si>
  <si>
    <t>TP622</t>
  </si>
  <si>
    <t>TP623</t>
  </si>
  <si>
    <t>TP63</t>
  </si>
  <si>
    <t>TP64</t>
  </si>
  <si>
    <t>TP65</t>
  </si>
  <si>
    <t>TP66</t>
  </si>
  <si>
    <t>TP67</t>
  </si>
  <si>
    <t>TP68</t>
  </si>
  <si>
    <t>TP69</t>
  </si>
  <si>
    <t>TP713</t>
  </si>
  <si>
    <t>TP723</t>
  </si>
  <si>
    <t>TP724</t>
  </si>
  <si>
    <t>TP726</t>
  </si>
  <si>
    <t>TP731</t>
  </si>
  <si>
    <t>TP735</t>
  </si>
  <si>
    <t>TP8140</t>
  </si>
  <si>
    <t>TP8141</t>
  </si>
  <si>
    <t>TP8142</t>
  </si>
  <si>
    <t>TP8143</t>
  </si>
  <si>
    <t>TP8144</t>
  </si>
  <si>
    <t>TP8146</t>
  </si>
  <si>
    <t>TP8170</t>
  </si>
  <si>
    <t>TP8172</t>
  </si>
  <si>
    <t>TP8173</t>
  </si>
  <si>
    <t>TP8174</t>
  </si>
  <si>
    <t>TP8175</t>
  </si>
  <si>
    <t>TP8176</t>
  </si>
  <si>
    <t>TP8200</t>
  </si>
  <si>
    <t>TP8201</t>
  </si>
  <si>
    <t>TQE</t>
  </si>
  <si>
    <t>TransferTrip</t>
  </si>
  <si>
    <t>TRANSPETRO - ATALAIA</t>
  </si>
  <si>
    <t>TRANSPETRO - BARRA DO FURADO</t>
  </si>
  <si>
    <t>TRANSPETRO - CABIUNAS</t>
  </si>
  <si>
    <t>TRANSPETRO - CANDEIAS</t>
  </si>
  <si>
    <t>TRANSPETRO - CANOAS</t>
  </si>
  <si>
    <t>TRANSPETRO - CUBATÃO</t>
  </si>
  <si>
    <t>TRANSPETRO - GUARAREMA</t>
  </si>
  <si>
    <t>TRANSPETRO - MACURIPE</t>
  </si>
  <si>
    <t>TRANSPETRO - MADRE DE DEUS</t>
  </si>
  <si>
    <t>TRANSPETRO - MANAUS</t>
  </si>
  <si>
    <t>TRANSPETRO - MIRIM</t>
  </si>
  <si>
    <t>TRANSPETRO - PAULÍNIA</t>
  </si>
  <si>
    <t>TRANSPETRO - PORTO SUAPE</t>
  </si>
  <si>
    <t>TRANSPETRO - SÃO CAETANO DO SUL</t>
  </si>
  <si>
    <t>TRANSPETRO - TEVIT</t>
  </si>
  <si>
    <t>TRL</t>
  </si>
  <si>
    <t>TRO</t>
  </si>
  <si>
    <t>TSA</t>
  </si>
  <si>
    <t>UF12</t>
  </si>
  <si>
    <t>UFN3</t>
  </si>
  <si>
    <t>ULA</t>
  </si>
  <si>
    <t>ULI</t>
  </si>
  <si>
    <t>UMA</t>
  </si>
  <si>
    <t>UMC01</t>
  </si>
  <si>
    <t>UMC03</t>
  </si>
  <si>
    <t>UMC05</t>
  </si>
  <si>
    <t>UMC06</t>
  </si>
  <si>
    <t>UMC07</t>
  </si>
  <si>
    <t>UMC08</t>
  </si>
  <si>
    <t>UMC09</t>
  </si>
  <si>
    <t>UMC10</t>
  </si>
  <si>
    <t>UMC11</t>
  </si>
  <si>
    <t>UMC12</t>
  </si>
  <si>
    <t>UMC13</t>
  </si>
  <si>
    <t>UMC14</t>
  </si>
  <si>
    <t>UMC15</t>
  </si>
  <si>
    <t>UMC16</t>
  </si>
  <si>
    <t>UMC18</t>
  </si>
  <si>
    <t>UMC19</t>
  </si>
  <si>
    <t>UMC2</t>
  </si>
  <si>
    <t>UMC20</t>
  </si>
  <si>
    <t>UMC21</t>
  </si>
  <si>
    <t>UMC22</t>
  </si>
  <si>
    <t>UMT22</t>
  </si>
  <si>
    <t>UMT23</t>
  </si>
  <si>
    <t>URA</t>
  </si>
  <si>
    <t>URU</t>
  </si>
  <si>
    <t>UTA</t>
  </si>
  <si>
    <t>UTC</t>
  </si>
  <si>
    <t>UTE CELSO FURTADO - MTRI2</t>
  </si>
  <si>
    <t>UTE_CF</t>
  </si>
  <si>
    <t>UTE-JSP</t>
  </si>
  <si>
    <t>UTEM</t>
  </si>
  <si>
    <t>VAA</t>
  </si>
  <si>
    <t>Válvula_SDV1</t>
  </si>
  <si>
    <t>Válvula_SDV2</t>
  </si>
  <si>
    <t>Válvula_SDV3</t>
  </si>
  <si>
    <t>VCA01</t>
  </si>
  <si>
    <t>VGT</t>
  </si>
  <si>
    <t>VKS</t>
  </si>
  <si>
    <t>VLG</t>
  </si>
  <si>
    <t>VTS</t>
  </si>
  <si>
    <t>Identificação / Microlocalização</t>
  </si>
  <si>
    <t>ACK, 1</t>
  </si>
  <si>
    <t>ACK, 2</t>
  </si>
  <si>
    <t>ACKB, 1</t>
  </si>
  <si>
    <t>ACKB, 2</t>
  </si>
  <si>
    <t>AFO, 2</t>
  </si>
  <si>
    <t>AFO, Mastro</t>
  </si>
  <si>
    <t>AJU, 2</t>
  </si>
  <si>
    <t>AMA, 1</t>
  </si>
  <si>
    <t>ARS, 2</t>
  </si>
  <si>
    <t>ARS, 4</t>
  </si>
  <si>
    <t>ARS, 5, Móvel</t>
  </si>
  <si>
    <t>ARS, Torre</t>
  </si>
  <si>
    <t>ASA, 1</t>
  </si>
  <si>
    <t>ASA, 2</t>
  </si>
  <si>
    <t>AUC, 1</t>
  </si>
  <si>
    <t>AUC, 4</t>
  </si>
  <si>
    <t>AVA, Torre</t>
  </si>
  <si>
    <t>BET, 1</t>
  </si>
  <si>
    <t>BET, 3</t>
  </si>
  <si>
    <t>BET, 4</t>
  </si>
  <si>
    <t>BGA, 1</t>
  </si>
  <si>
    <t>BLS, 1</t>
  </si>
  <si>
    <t>BLS, 1, Móvel</t>
  </si>
  <si>
    <t>BLS, 2</t>
  </si>
  <si>
    <t>BRCA, 3</t>
  </si>
  <si>
    <t>BSA2, Móvel</t>
  </si>
  <si>
    <t>BSHY, Abrigo Administrativo, Sala TIC 1 (Estação)</t>
  </si>
  <si>
    <t>BURC2, 1</t>
  </si>
  <si>
    <t>BURC2, 3</t>
  </si>
  <si>
    <t>BVO, Abrigo DataCenter, Piso Inferior, Sala TIC (Estação)</t>
  </si>
  <si>
    <t>CAI, 3, Móvel</t>
  </si>
  <si>
    <t>CAN, 1</t>
  </si>
  <si>
    <t>CAN, 2</t>
  </si>
  <si>
    <t>CAN, 3</t>
  </si>
  <si>
    <t>CAN, 4</t>
  </si>
  <si>
    <t>CAN, 5</t>
  </si>
  <si>
    <t>CAPX, Abrigo Principal, Estrutura Torre</t>
  </si>
  <si>
    <t>CAPX, Abrigo Principal, Estrutura VSAT 1</t>
  </si>
  <si>
    <t>CAPX, Abrigo Principal, Estrutura VSAT 2</t>
  </si>
  <si>
    <t>CAR, 3</t>
  </si>
  <si>
    <t>CAR6, 1</t>
  </si>
  <si>
    <t>CAR6, 2</t>
  </si>
  <si>
    <t>CBS, Abrigo 700</t>
  </si>
  <si>
    <t>CBS, Abrigo 700, Móvel</t>
  </si>
  <si>
    <t>CDL, Mastro</t>
  </si>
  <si>
    <t>CER, 2</t>
  </si>
  <si>
    <t>CES, 1</t>
  </si>
  <si>
    <t>CES2, 1</t>
  </si>
  <si>
    <t>CES2, 10</t>
  </si>
  <si>
    <t>CES2, 11</t>
  </si>
  <si>
    <t>CES2, 12</t>
  </si>
  <si>
    <t>CES2, 13</t>
  </si>
  <si>
    <t>CES2, 14</t>
  </si>
  <si>
    <t>CES2, 2</t>
  </si>
  <si>
    <t>CES2, 3</t>
  </si>
  <si>
    <t>CES2, 4</t>
  </si>
  <si>
    <t>CES2, 6</t>
  </si>
  <si>
    <t>CES2, 7</t>
  </si>
  <si>
    <t>CES2, 8</t>
  </si>
  <si>
    <t>CES2, 9</t>
  </si>
  <si>
    <t>CGA, 1</t>
  </si>
  <si>
    <t>CGA, 2</t>
  </si>
  <si>
    <t>CGA, 4</t>
  </si>
  <si>
    <t>CGA, 5</t>
  </si>
  <si>
    <t>CGE, Abrigo TIC, Estrutura Torre</t>
  </si>
  <si>
    <t>CGE, Região Marítima, Abrigo Monobóia, Estrutura Mastro</t>
  </si>
  <si>
    <t>CIS2, 1</t>
  </si>
  <si>
    <t>CIU, Abrigo TIC, Sala TIC (Estação)</t>
  </si>
  <si>
    <t>CJU, 1</t>
  </si>
  <si>
    <t>CJU, 2</t>
  </si>
  <si>
    <t>CJU, 3</t>
  </si>
  <si>
    <t>CJU, 4</t>
  </si>
  <si>
    <t>CJU, 4, Móvel</t>
  </si>
  <si>
    <t>CJU, 5, Móvel</t>
  </si>
  <si>
    <t>CJU2, 1</t>
  </si>
  <si>
    <t>CJU2, 2</t>
  </si>
  <si>
    <t>CLS, Abrigo TIC, Estrutura Torre</t>
  </si>
  <si>
    <t>CNG, 2</t>
  </si>
  <si>
    <t>CPD, Móvel</t>
  </si>
  <si>
    <t>CPO, 1</t>
  </si>
  <si>
    <t>CPO, 2</t>
  </si>
  <si>
    <t>CPO, 3</t>
  </si>
  <si>
    <t>CPO, 4</t>
  </si>
  <si>
    <t>CPO, 5</t>
  </si>
  <si>
    <t>CPO, 6</t>
  </si>
  <si>
    <t>CPO, 7</t>
  </si>
  <si>
    <t>DQX, 1</t>
  </si>
  <si>
    <t>DQX, 2</t>
  </si>
  <si>
    <t>DQX, 3</t>
  </si>
  <si>
    <t>DQX, 4</t>
  </si>
  <si>
    <t>DQX, 5</t>
  </si>
  <si>
    <t>DQX, 6</t>
  </si>
  <si>
    <t>DQX, 7</t>
  </si>
  <si>
    <t>DQX, 8</t>
  </si>
  <si>
    <t>DQX, 9</t>
  </si>
  <si>
    <t>EDA, 1</t>
  </si>
  <si>
    <t>EDA, 2</t>
  </si>
  <si>
    <t>ERS, 1</t>
  </si>
  <si>
    <t>ERS, 2</t>
  </si>
  <si>
    <t>FAL, Abrigo TIC, Estrutura Torre, Móvel</t>
  </si>
  <si>
    <t>FAL, Abrigo TIC, Sala TIC (Estação)</t>
  </si>
  <si>
    <t>FBM, 1</t>
  </si>
  <si>
    <t>FBM, 2</t>
  </si>
  <si>
    <t>FBO, 1</t>
  </si>
  <si>
    <t>FCA, Abrigo Principal, Estrutura VSAT</t>
  </si>
  <si>
    <t>FCO, Abrigo TIC, Estrutura Torre</t>
  </si>
  <si>
    <t>FLA, 1</t>
  </si>
  <si>
    <t>FLA, 2</t>
  </si>
  <si>
    <t>FLA, 3</t>
  </si>
  <si>
    <t>GFO2, Abrigo Principal, Estrutura Mastro</t>
  </si>
  <si>
    <t>GFO2, Abrigo Principal, Estrutura VSAT 1</t>
  </si>
  <si>
    <t>GME, 2</t>
  </si>
  <si>
    <t>GNA, 2</t>
  </si>
  <si>
    <t>GRM, 1</t>
  </si>
  <si>
    <t>GRS, 3</t>
  </si>
  <si>
    <t>IBE, 2</t>
  </si>
  <si>
    <t>ICA, Torre</t>
  </si>
  <si>
    <t>IDA, 1</t>
  </si>
  <si>
    <t>IDA, 2</t>
  </si>
  <si>
    <t>IDA, 3</t>
  </si>
  <si>
    <t>IFO, 1</t>
  </si>
  <si>
    <t>IFO, 2</t>
  </si>
  <si>
    <t>IFO, 3</t>
  </si>
  <si>
    <t>IFO, 3, Móvel</t>
  </si>
  <si>
    <t>IOY, 3</t>
  </si>
  <si>
    <t>IOY, 6</t>
  </si>
  <si>
    <t>IOY, 8</t>
  </si>
  <si>
    <t>IQI, 1</t>
  </si>
  <si>
    <t>IQI, 2</t>
  </si>
  <si>
    <t>IQI, 2, Móvel</t>
  </si>
  <si>
    <t>IQI, 3</t>
  </si>
  <si>
    <t>IQI, 3, Móvel</t>
  </si>
  <si>
    <t>IRA, 1</t>
  </si>
  <si>
    <t>IRA, 2</t>
  </si>
  <si>
    <t>ITB, 1</t>
  </si>
  <si>
    <t>JCI, Região CRE, Abrigo TIC, Sala TIC (Estação)</t>
  </si>
  <si>
    <t>LNA, 2</t>
  </si>
  <si>
    <t>MAU, 1</t>
  </si>
  <si>
    <t>MAU, 2</t>
  </si>
  <si>
    <t>MAU, Torre</t>
  </si>
  <si>
    <t>MBA, 1</t>
  </si>
  <si>
    <t>MBA, 2</t>
  </si>
  <si>
    <t>MCE, Abrigo 110</t>
  </si>
  <si>
    <t>MCE, Abrigo 111 (CPD)</t>
  </si>
  <si>
    <t>MCE, Abrigo 305 (Embarque)</t>
  </si>
  <si>
    <t>MCE, Abrigo 339, Estrutura Torre</t>
  </si>
  <si>
    <t>MDY, 1</t>
  </si>
  <si>
    <t>MFG, Abrigo TIC, Estrutura Torre B</t>
  </si>
  <si>
    <t>MFG, Abrigo TIC, Sala TIC (Estação)</t>
  </si>
  <si>
    <t>MLZ, Móvel</t>
  </si>
  <si>
    <t>MNA, 1</t>
  </si>
  <si>
    <t>MNS, 2</t>
  </si>
  <si>
    <t>MNS, Torre</t>
  </si>
  <si>
    <t>MOP1, Abrigo Operação, Sala 1, Estrutura Mastro</t>
  </si>
  <si>
    <t>MOP1, Abrigo Principal, Estrutura Mastro</t>
  </si>
  <si>
    <t>MOP1, Abrigo Principal, Estrutura VSAT</t>
  </si>
  <si>
    <t>MRM, 3</t>
  </si>
  <si>
    <t>MTRI, 1</t>
  </si>
  <si>
    <t>MTRI, 3</t>
  </si>
  <si>
    <t>MTRI, 4</t>
  </si>
  <si>
    <t>MTRI, 5</t>
  </si>
  <si>
    <t>MTRI, 6</t>
  </si>
  <si>
    <t>MTRI, 7</t>
  </si>
  <si>
    <t>MXL, Móvel</t>
  </si>
  <si>
    <t>NS49, Móvel</t>
  </si>
  <si>
    <t>Oiapoque, Aeroporto, Móvel</t>
  </si>
  <si>
    <t>P09, Móvel</t>
  </si>
  <si>
    <t>P18, Móvel</t>
  </si>
  <si>
    <t>P19, Móvel</t>
  </si>
  <si>
    <t>P19, Sala de Controle</t>
  </si>
  <si>
    <t>P20, Móvel</t>
  </si>
  <si>
    <t>P25, Móvel</t>
  </si>
  <si>
    <t>P26, Móvel</t>
  </si>
  <si>
    <t>P31, Móvel</t>
  </si>
  <si>
    <t>P32, Guindaste</t>
  </si>
  <si>
    <t>P32, Móvel</t>
  </si>
  <si>
    <t>P33, Móvel</t>
  </si>
  <si>
    <t>P35, Móvel</t>
  </si>
  <si>
    <t>P35, Sala Controle e Manutenção</t>
  </si>
  <si>
    <t>P37, Móvel</t>
  </si>
  <si>
    <t>P38, Móvel</t>
  </si>
  <si>
    <t>P40, Móvel</t>
  </si>
  <si>
    <t>P43, Móvel</t>
  </si>
  <si>
    <t>P47, Móvel</t>
  </si>
  <si>
    <t>P48, Móvel</t>
  </si>
  <si>
    <t>P51, Móvel</t>
  </si>
  <si>
    <t>P52, Móvel</t>
  </si>
  <si>
    <t>P53, Móvel</t>
  </si>
  <si>
    <t>P54, Móvel</t>
  </si>
  <si>
    <t>P55, Móvel</t>
  </si>
  <si>
    <t>P56, Móvel</t>
  </si>
  <si>
    <t>P57, Abrigo Principal, Estrutura Torre</t>
  </si>
  <si>
    <t>P57, Móvel</t>
  </si>
  <si>
    <t>P58, Região Deck B, Abrigo Principal, Estrutura Mastro</t>
  </si>
  <si>
    <t>P62, Móvel</t>
  </si>
  <si>
    <t>P66, Móvel</t>
  </si>
  <si>
    <t>P67, Móvel</t>
  </si>
  <si>
    <t>P68, Móvel</t>
  </si>
  <si>
    <t>P69, Móvel</t>
  </si>
  <si>
    <t>P70, Móvel</t>
  </si>
  <si>
    <t>P71, Móvel</t>
  </si>
  <si>
    <t>P74, Móvel</t>
  </si>
  <si>
    <t>P75, Móvel</t>
  </si>
  <si>
    <t>P76, Móvel</t>
  </si>
  <si>
    <t>P77, Móvel</t>
  </si>
  <si>
    <t>PAT1, Móvel</t>
  </si>
  <si>
    <t>PCH1, Móvel</t>
  </si>
  <si>
    <t>PCH2, Móvel</t>
  </si>
  <si>
    <t>PCR1, Móvel</t>
  </si>
  <si>
    <t>PEA, 2</t>
  </si>
  <si>
    <t>PEO, 1</t>
  </si>
  <si>
    <t>PGP1, Móvel</t>
  </si>
  <si>
    <t>PJUC, 1</t>
  </si>
  <si>
    <t>PJUC, 1, Móvel</t>
  </si>
  <si>
    <t>PLA, 1</t>
  </si>
  <si>
    <t>PLA, 2</t>
  </si>
  <si>
    <t>PLA, 2, Móvel</t>
  </si>
  <si>
    <t>PMNT, 1</t>
  </si>
  <si>
    <t>PMNT, 2</t>
  </si>
  <si>
    <t>PNA1, Móvel</t>
  </si>
  <si>
    <t>PNA2, Móvel</t>
  </si>
  <si>
    <t>PNG, 4</t>
  </si>
  <si>
    <t>Poço_AR_239, 1</t>
  </si>
  <si>
    <t>Poço_AR_239, 2</t>
  </si>
  <si>
    <t>Poço_BA_170, 1</t>
  </si>
  <si>
    <t>Poço_BA_170, 2</t>
  </si>
  <si>
    <t>Poço_BA_304, 1</t>
  </si>
  <si>
    <t>Poço_BA_304, 2</t>
  </si>
  <si>
    <t>Poço_FBE_026, 1</t>
  </si>
  <si>
    <t>Poço_FBE_026, 2</t>
  </si>
  <si>
    <t>Poço_FBE_034, 1</t>
  </si>
  <si>
    <t>Poço_FBE_034, 2</t>
  </si>
  <si>
    <t>Poço_ICB_01, Mastro</t>
  </si>
  <si>
    <t>Poço_LUC_05, 1</t>
  </si>
  <si>
    <t>Poço_LUC_05, 2</t>
  </si>
  <si>
    <t>Poço_LUC_05, Torre</t>
  </si>
  <si>
    <t>Poço_LUC_06, 1</t>
  </si>
  <si>
    <t>Poço_LUC_06, 2</t>
  </si>
  <si>
    <t>Poço_LUC_17, 1</t>
  </si>
  <si>
    <t>Poço_LUC_17, 2</t>
  </si>
  <si>
    <t>Poço_LUC_20, 1</t>
  </si>
  <si>
    <t>Poço_LUC_20, 2</t>
  </si>
  <si>
    <t>Poço_LUC_22, 1</t>
  </si>
  <si>
    <t>Poço_LUC_22, 2</t>
  </si>
  <si>
    <t>Poço_LUC_24, 2</t>
  </si>
  <si>
    <t>Poço_RUC_24, 1</t>
  </si>
  <si>
    <t>Poço_RUC_24, 2</t>
  </si>
  <si>
    <t>Poço_RUC_26, 1</t>
  </si>
  <si>
    <t>Poço_RUC_26, 2</t>
  </si>
  <si>
    <t>Poço_SUC_01, Torre</t>
  </si>
  <si>
    <t>Posição_CE_02, Móvel</t>
  </si>
  <si>
    <t>Posição_ES_01, Região Marítima</t>
  </si>
  <si>
    <t>Posição_RN_03, Móvel</t>
  </si>
  <si>
    <t>Posição_SE_01, Móvel</t>
  </si>
  <si>
    <t>PRA, 2</t>
  </si>
  <si>
    <t>PRA, 3</t>
  </si>
  <si>
    <t>PRA, Oficina</t>
  </si>
  <si>
    <t>PRA1, Móvel</t>
  </si>
  <si>
    <t>PRU, 1</t>
  </si>
  <si>
    <t>PUU, 1</t>
  </si>
  <si>
    <t>PUU, 3</t>
  </si>
  <si>
    <t>PXA1, Móvel</t>
  </si>
  <si>
    <t>QUI, Abrigo TIC PT03A</t>
  </si>
  <si>
    <t>RAL, 1</t>
  </si>
  <si>
    <t>RAL, 2</t>
  </si>
  <si>
    <t>RJO, Móvel</t>
  </si>
  <si>
    <t>RSA, 1</t>
  </si>
  <si>
    <t>RSA, 3</t>
  </si>
  <si>
    <t>SAO, 1</t>
  </si>
  <si>
    <t>SAO, 2, Móvel</t>
  </si>
  <si>
    <t>SAO, 3</t>
  </si>
  <si>
    <t>Saracuruna, Móvel</t>
  </si>
  <si>
    <t>SCN, 2</t>
  </si>
  <si>
    <t>SDR, 1</t>
  </si>
  <si>
    <t>SDR, 2</t>
  </si>
  <si>
    <t>SDR, 3</t>
  </si>
  <si>
    <t>SDR, 4</t>
  </si>
  <si>
    <t>SEA, Mastro</t>
  </si>
  <si>
    <t>SFCO, 1</t>
  </si>
  <si>
    <t>SFS, 3</t>
  </si>
  <si>
    <t>SGO, 1</t>
  </si>
  <si>
    <t>SGO, 2</t>
  </si>
  <si>
    <t>SGO, 3</t>
  </si>
  <si>
    <t>SJC, 1</t>
  </si>
  <si>
    <t>SJC, 2</t>
  </si>
  <si>
    <t>SMT, Região Bloco A, Abrigo Portaria principal, Estrutura Mastro</t>
  </si>
  <si>
    <t>SMT, Região Bloco S, Abrigo TIC, Estrutura Torre</t>
  </si>
  <si>
    <t>SND, 1</t>
  </si>
  <si>
    <t>SSE, 1</t>
  </si>
  <si>
    <t>SSE, 2</t>
  </si>
  <si>
    <t>SSL, IERE</t>
  </si>
  <si>
    <t>SSL, Portaria P2</t>
  </si>
  <si>
    <t>SSL, Torre</t>
  </si>
  <si>
    <t>SSL, U144</t>
  </si>
  <si>
    <t>SSL, U144, Móvel</t>
  </si>
  <si>
    <t>SSL, U153</t>
  </si>
  <si>
    <t>SUAP, 3</t>
  </si>
  <si>
    <t>SUAP, Torre</t>
  </si>
  <si>
    <t>TABR, Abrigo Estação Elétrica, Sala TIC 2 (Estação)</t>
  </si>
  <si>
    <t>TASSU, 3</t>
  </si>
  <si>
    <t>TBE, 2</t>
  </si>
  <si>
    <t>TCE, 1</t>
  </si>
  <si>
    <t>TCE, 1, Móvel</t>
  </si>
  <si>
    <t>TCE, 2</t>
  </si>
  <si>
    <t>TCE, Torre</t>
  </si>
  <si>
    <t>TJF, 1</t>
  </si>
  <si>
    <t>TJF, 2</t>
  </si>
  <si>
    <t>TJF, 2, Móvel</t>
  </si>
  <si>
    <t>TJF, 3</t>
  </si>
  <si>
    <t>TJF, 3, Móvel</t>
  </si>
  <si>
    <t>TJF, 4</t>
  </si>
  <si>
    <t>TLS, 1</t>
  </si>
  <si>
    <t>TLS, 2</t>
  </si>
  <si>
    <t>TLS, 4</t>
  </si>
  <si>
    <t>TLS, 4, Móvel</t>
  </si>
  <si>
    <t>TLS, 5</t>
  </si>
  <si>
    <t>TMIB, 1</t>
  </si>
  <si>
    <t>TMO, 1</t>
  </si>
  <si>
    <t>TMO, 2</t>
  </si>
  <si>
    <t>TMO, 3</t>
  </si>
  <si>
    <t>TMO, 4, Móvel</t>
  </si>
  <si>
    <t>TP215, 1</t>
  </si>
  <si>
    <t>TP215, 2</t>
  </si>
  <si>
    <t>TP230, 1</t>
  </si>
  <si>
    <t>TP231, 1</t>
  </si>
  <si>
    <t>TP235, 1</t>
  </si>
  <si>
    <t>TP246, 2</t>
  </si>
  <si>
    <t>TP27, 1</t>
  </si>
  <si>
    <t>TP505, 1</t>
  </si>
  <si>
    <t>TP8140, Abrigo Principal, Sala TIC (Estação)</t>
  </si>
  <si>
    <t>TP8141, Abrigo Principal, Sala TIC (Estação)</t>
  </si>
  <si>
    <t>TP8142, Abrigo Principal, Sala TIC (Estação)</t>
  </si>
  <si>
    <t>TP8143, Abrigo Principal, Sala TIC (Estação)</t>
  </si>
  <si>
    <t>TP8144, Abrigo Principal, Sala TIC (Estação)</t>
  </si>
  <si>
    <t>TP8146, Abrigo Principal, Sala TIC (Estação)</t>
  </si>
  <si>
    <t>TP8170, Abrigo Principal, Sala TIC (Estação)</t>
  </si>
  <si>
    <t>TP8172, Abrigo Controle, Sala TIC (Estação)</t>
  </si>
  <si>
    <t>TP8173, Abrigo Principal, Sala TIC (Estação)</t>
  </si>
  <si>
    <t>TP8174, Abrigo Principal, Sala TIC (Estação)</t>
  </si>
  <si>
    <t>TP8175, Abrigo Principal, Sala TIC (Estação)</t>
  </si>
  <si>
    <t>TP8176, Abrigo Principal, Sala TIC (Estação)</t>
  </si>
  <si>
    <t>TP8200, Abrigo Principal, Sala TIC (Estação)</t>
  </si>
  <si>
    <t>TP8201, Abrigo Principal, Sala TIC (Estação)</t>
  </si>
  <si>
    <t>TQE, 2</t>
  </si>
  <si>
    <t>TSA, Torre</t>
  </si>
  <si>
    <t>UFN3, 2</t>
  </si>
  <si>
    <t>UFN3, 2, Móvel</t>
  </si>
  <si>
    <t>UFN3, 3</t>
  </si>
  <si>
    <t>ULA, 2</t>
  </si>
  <si>
    <t>URA, 1</t>
  </si>
  <si>
    <t>URA, 3</t>
  </si>
  <si>
    <t>URU, 1</t>
  </si>
  <si>
    <t>URU, 2</t>
  </si>
  <si>
    <t>URU, 3</t>
  </si>
  <si>
    <t>URU, 4</t>
  </si>
  <si>
    <t>URU, 5</t>
  </si>
  <si>
    <t>UTA, Abrigo K03, Estrutura Mastro</t>
  </si>
  <si>
    <t>UTA, Abrigo K19L, Sala TIC (Estação)</t>
  </si>
  <si>
    <t>UTA, Abrigo K19R, Estrutura Torre</t>
  </si>
  <si>
    <t>UTA, Abrigo K19R, Estrutura Torre, Móvel</t>
  </si>
  <si>
    <t>UTC, Abrigo TIC, Estrutura Torre</t>
  </si>
  <si>
    <t>UTC, Abrigo TIC, Sala TIC (Estação)</t>
  </si>
  <si>
    <t>UTEM, Abrigo Administrativo</t>
  </si>
  <si>
    <t>UTEM, Abrigo Administrativo, Móvel</t>
  </si>
  <si>
    <t>VCA01, Abrigo Principal, Sala TIC (Estação)</t>
  </si>
  <si>
    <t>VGT, Abrigo TIC, Estrutura Torre</t>
  </si>
  <si>
    <t>VLG, Móvel</t>
  </si>
  <si>
    <t>Identificação</t>
  </si>
  <si>
    <t>Formulário</t>
  </si>
  <si>
    <t>Data da vistoria:</t>
  </si>
  <si>
    <t>Região:</t>
  </si>
  <si>
    <t>Estação:</t>
  </si>
  <si>
    <t>Equipe</t>
  </si>
  <si>
    <t>Responsável:</t>
  </si>
  <si>
    <t>Executante(s):</t>
  </si>
  <si>
    <t>Sistema</t>
  </si>
  <si>
    <t>Planejamento</t>
  </si>
  <si>
    <t>Situação</t>
  </si>
  <si>
    <t>CIDE</t>
  </si>
  <si>
    <t>Microlocalização</t>
  </si>
  <si>
    <t>Serviço, TFI</t>
  </si>
  <si>
    <t>Estação</t>
  </si>
  <si>
    <t>Quantidade</t>
  </si>
  <si>
    <t>Formulários:</t>
  </si>
  <si>
    <t>Verificado</t>
  </si>
  <si>
    <t>Vistoria</t>
  </si>
  <si>
    <t>Intruções:</t>
  </si>
  <si>
    <t>1) O planejamento de formulários de sistemas da PETROBRAS deve ser obtido no Controle Integrado Digital de Estações</t>
  </si>
  <si>
    <t>(CIDE)</t>
  </si>
  <si>
    <t>, na seguinte página: Início -&gt; Planos Globais -&gt; Vistorias;</t>
  </si>
  <si>
    <r>
      <t xml:space="preserve">2) Todos os terminais de radiocomunicação </t>
    </r>
    <r>
      <rPr>
        <i/>
        <sz val="5"/>
        <color theme="1"/>
        <rFont val="Tahoma"/>
        <family val="2"/>
      </rPr>
      <t>trunking</t>
    </r>
    <r>
      <rPr>
        <sz val="5"/>
        <color theme="1"/>
        <rFont val="Tahoma"/>
        <family val="2"/>
      </rPr>
      <t xml:space="preserve"> fixos devem ser vistoriados;</t>
    </r>
  </si>
  <si>
    <t>3) Os terminais de radiocomunicação móveis veiculares ou portáteis devem ser vistoriados quando encontrados e disponíveis durante a vistoria;</t>
  </si>
  <si>
    <t>4) Os sistemas de terceiro não são conhecidos pelo CIDE, no entanto, devem ser vistoriados;</t>
  </si>
  <si>
    <t>5) Em caso de nomenclatura de microlocalização inadequada no CIDE, registre a necessidade de ajuste no campo Notas e comunique-a ao Ponto Focal de Marco Regulatório de sua regional.</t>
  </si>
  <si>
    <t>Observação</t>
  </si>
  <si>
    <t>Notas</t>
  </si>
  <si>
    <t>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
__________________________________________________________________________________________________________________</t>
  </si>
  <si>
    <t>Formulário:</t>
  </si>
  <si>
    <t>Equipamento:</t>
  </si>
  <si>
    <t>Documento</t>
  </si>
  <si>
    <t>Legalização</t>
  </si>
  <si>
    <t>Número da estação:</t>
  </si>
  <si>
    <t>Evidência:</t>
  </si>
  <si>
    <t>Localização</t>
  </si>
  <si>
    <t>Endereço</t>
  </si>
  <si>
    <t>Autorizado</t>
  </si>
  <si>
    <t>Logradouro:</t>
  </si>
  <si>
    <t>Bairro:</t>
  </si>
  <si>
    <t>Município:</t>
  </si>
  <si>
    <t>UF:</t>
  </si>
  <si>
    <t>Coordenadas geográficas</t>
  </si>
  <si>
    <t>Latitude:</t>
  </si>
  <si>
    <t>°</t>
  </si>
  <si>
    <t>'</t>
  </si>
  <si>
    <t>" S</t>
  </si>
  <si>
    <t>Longitude:</t>
  </si>
  <si>
    <t>" W</t>
  </si>
  <si>
    <t>Instrução: A tolerância de desvio permitida é de 1 segundo para a Latitude ou Longitude autorizadas.</t>
  </si>
  <si>
    <t>Equipamento / Transmissor</t>
  </si>
  <si>
    <t>N° Certificado:</t>
  </si>
  <si>
    <t>-</t>
  </si>
  <si>
    <t>Fabricante:</t>
  </si>
  <si>
    <t>Produto:</t>
  </si>
  <si>
    <t>N° série:</t>
  </si>
  <si>
    <t>Operação:</t>
  </si>
  <si>
    <t>Instrumento de medição</t>
  </si>
  <si>
    <t>GPS</t>
  </si>
  <si>
    <t>Propriedade:</t>
  </si>
  <si>
    <t>Número de série:</t>
  </si>
  <si>
    <t>Instrução: Este serviço não possui licença para funcionamento de estação, no entanto, possui cadastro no SitarWeb/STEL e número de estação.</t>
  </si>
  <si>
    <t>076 - SRP</t>
  </si>
  <si>
    <t>[ X ] Documento { Eletrônico }</t>
  </si>
  <si>
    <t>SALA DE FIBRA ÓPTICA</t>
  </si>
  <si>
    <t>Est. São Lourenço 352</t>
  </si>
  <si>
    <t>Goiabal</t>
  </si>
  <si>
    <t>Barra Mansa</t>
  </si>
  <si>
    <t>ALCATEL</t>
  </si>
  <si>
    <t>1626M</t>
  </si>
  <si>
    <t>[ X ] Ligado</t>
  </si>
  <si>
    <t>3AL94511AA</t>
  </si>
  <si>
    <t>[ X ] Selo no equipamento</t>
  </si>
  <si>
    <t>[ X ] Terceiro</t>
  </si>
  <si>
    <t>65D077084</t>
  </si>
  <si>
    <t xml:space="preserve">SPREAD </t>
  </si>
  <si>
    <t>IRVEM / Y9N1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</si>
</sst>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"/>
    <numFmt numFmtId="165" formatCode="00000"/>
    <numFmt numFmtId="166" formatCode="000"/>
    <numFmt numFmtId="167" formatCode="00.00"/>
    <numFmt numFmtId="168" formatCode="00.0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7"/>
      <color theme="1"/>
      <name val="Tahoma"/>
      <family val="2"/>
    </font>
    <font>
      <sz val="7"/>
      <color theme="1"/>
      <name val="Calibri"/>
      <family val="2"/>
      <scheme val="minor"/>
    </font>
    <font>
      <sz val="5"/>
      <color theme="1"/>
      <name val="Tahoma"/>
      <family val="2"/>
    </font>
    <font>
      <sz val="10"/>
      <color theme="1"/>
      <name val="Verdana"/>
      <family val="2"/>
    </font>
    <font>
      <sz val="10"/>
      <color theme="1"/>
      <name val="Tahoma"/>
      <family val="2"/>
    </font>
    <font>
      <u/>
      <sz val="7"/>
      <color theme="1"/>
      <name val="Tahoma"/>
      <family val="2"/>
    </font>
    <font>
      <u/>
      <sz val="11"/>
      <color theme="10"/>
      <name val="Calibri"/>
      <family val="2"/>
      <scheme val="minor"/>
    </font>
    <font>
      <u/>
      <sz val="5"/>
      <color theme="10"/>
      <name val="Tahoma"/>
      <family val="2"/>
    </font>
    <font>
      <i/>
      <sz val="5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1" fillId="0" borderId="3" xfId="0" applyFont="1" applyBorder="1"/>
    <xf numFmtId="0" fontId="1" fillId="0" borderId="2" xfId="0" applyFont="1" applyBorder="1"/>
    <xf numFmtId="0" fontId="1" fillId="0" borderId="9" xfId="0" applyFont="1" applyBorder="1"/>
    <xf numFmtId="0" fontId="1" fillId="0" borderId="4" xfId="0" applyFont="1" applyBorder="1"/>
    <xf numFmtId="0" fontId="1" fillId="0" borderId="5" xfId="0" applyFont="1" applyBorder="1"/>
    <xf numFmtId="0" fontId="2" fillId="0" borderId="2" xfId="0" applyFont="1" applyBorder="1"/>
    <xf numFmtId="0" fontId="2" fillId="0" borderId="9" xfId="0" applyFont="1" applyBorder="1"/>
    <xf numFmtId="0" fontId="3" fillId="0" borderId="0" xfId="0" applyFont="1"/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5" fillId="3" borderId="3" xfId="0" applyFont="1" applyFill="1" applyBorder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3" xfId="0" applyFont="1" applyBorder="1" applyAlignment="1">
      <alignment horizontal="left" vertical="top"/>
    </xf>
    <xf numFmtId="0" fontId="0" fillId="0" borderId="0" xfId="0" applyAlignment="1">
      <alignment horizontal="left"/>
    </xf>
    <xf numFmtId="0" fontId="2" fillId="0" borderId="0" xfId="0" applyFont="1"/>
    <xf numFmtId="0" fontId="1" fillId="0" borderId="3" xfId="0" applyFont="1" applyBorder="1" applyAlignment="1">
      <alignment vertical="top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vertical="top"/>
    </xf>
    <xf numFmtId="0" fontId="1" fillId="0" borderId="3" xfId="0" quotePrefix="1" applyFont="1" applyBorder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0" xfId="0" applyFont="1"/>
    <xf numFmtId="0" fontId="6" fillId="0" borderId="3" xfId="0" applyFont="1" applyBorder="1"/>
    <xf numFmtId="164" fontId="1" fillId="0" borderId="3" xfId="0" applyNumberFormat="1" applyFont="1" applyBorder="1" applyAlignment="1">
      <alignment horizontal="left" vertical="top"/>
    </xf>
    <xf numFmtId="0" fontId="7" fillId="0" borderId="0" xfId="0" applyFont="1"/>
    <xf numFmtId="14" fontId="1" fillId="0" borderId="0" xfId="0" applyNumberFormat="1" applyFont="1" applyAlignment="1">
      <alignment vertical="top"/>
    </xf>
    <xf numFmtId="0" fontId="1" fillId="0" borderId="0" xfId="0" applyFont="1" applyAlignment="1">
      <alignment horizontal="left" vertical="center" wrapText="1"/>
    </xf>
    <xf numFmtId="0" fontId="1" fillId="0" borderId="7" xfId="0" applyFont="1" applyBorder="1"/>
    <xf numFmtId="14" fontId="6" fillId="0" borderId="0" xfId="0" applyNumberFormat="1" applyFont="1" applyAlignment="1">
      <alignment horizontal="left"/>
    </xf>
    <xf numFmtId="14" fontId="6" fillId="0" borderId="0" xfId="0" applyNumberFormat="1" applyFont="1" applyAlignment="1">
      <alignment horizontal="left"/>
    </xf>
    <xf numFmtId="14" fontId="6" fillId="0" borderId="3" xfId="0" applyNumberFormat="1" applyFont="1" applyBorder="1" applyAlignment="1">
      <alignment horizontal="left"/>
    </xf>
    <xf numFmtId="0" fontId="5" fillId="2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3" xfId="0" applyFont="1" applyBorder="1" applyAlignment="1">
      <alignment horizontal="left"/>
    </xf>
    <xf numFmtId="14" fontId="6" fillId="4" borderId="0" xfId="0" applyNumberFormat="1" applyFont="1" applyFill="1" applyAlignment="1">
      <alignment horizontal="left"/>
    </xf>
    <xf numFmtId="14" fontId="6" fillId="4" borderId="3" xfId="0" applyNumberFormat="1" applyFont="1" applyFill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" fontId="1" fillId="0" borderId="11" xfId="0" applyNumberFormat="1" applyFont="1" applyBorder="1" applyAlignment="1">
      <alignment horizontal="right" vertical="top"/>
    </xf>
    <xf numFmtId="1" fontId="1" fillId="0" borderId="1" xfId="0" applyNumberFormat="1" applyFont="1" applyBorder="1" applyAlignment="1">
      <alignment horizontal="right" vertical="top"/>
    </xf>
    <xf numFmtId="0" fontId="2" fillId="0" borderId="3" xfId="0" applyFont="1" applyBorder="1" applyAlignment="1">
      <alignment horizontal="left"/>
    </xf>
    <xf numFmtId="0" fontId="1" fillId="0" borderId="1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2" fillId="0" borderId="3" xfId="0" applyFont="1" applyBorder="1" applyAlignment="1">
      <alignment horizontal="right"/>
    </xf>
    <xf numFmtId="14" fontId="1" fillId="0" borderId="3" xfId="0" applyNumberFormat="1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2" fillId="0" borderId="0" xfId="0" applyFont="1" applyAlignment="1">
      <alignment horizontal="left"/>
    </xf>
    <xf numFmtId="0" fontId="1" fillId="4" borderId="6" xfId="0" applyFont="1" applyFill="1" applyBorder="1" applyAlignment="1">
      <alignment horizontal="left" vertical="center" wrapText="1"/>
    </xf>
    <xf numFmtId="0" fontId="1" fillId="4" borderId="7" xfId="0" applyFont="1" applyFill="1" applyBorder="1" applyAlignment="1">
      <alignment horizontal="left" vertical="center" wrapText="1"/>
    </xf>
    <xf numFmtId="0" fontId="1" fillId="4" borderId="8" xfId="0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1" fillId="4" borderId="9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1" fillId="4" borderId="3" xfId="0" applyFont="1" applyFill="1" applyBorder="1" applyAlignment="1">
      <alignment horizontal="left" vertical="center" wrapText="1"/>
    </xf>
    <xf numFmtId="0" fontId="1" fillId="4" borderId="5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9" fillId="0" borderId="0" xfId="1" applyFont="1" applyBorder="1" applyAlignment="1">
      <alignment horizontal="center" vertical="top"/>
    </xf>
    <xf numFmtId="167" fontId="1" fillId="0" borderId="3" xfId="0" applyNumberFormat="1" applyFont="1" applyBorder="1" applyAlignment="1">
      <alignment horizontal="left" vertical="top"/>
    </xf>
    <xf numFmtId="166" fontId="1" fillId="0" borderId="3" xfId="0" applyNumberFormat="1" applyFont="1" applyBorder="1" applyAlignment="1">
      <alignment horizontal="left" vertical="top"/>
    </xf>
    <xf numFmtId="164" fontId="1" fillId="0" borderId="3" xfId="0" applyNumberFormat="1" applyFont="1" applyBorder="1" applyAlignment="1">
      <alignment horizontal="left" vertical="top"/>
    </xf>
    <xf numFmtId="0" fontId="7" fillId="0" borderId="9" xfId="0" applyFont="1" applyBorder="1" applyAlignment="1">
      <alignment horizontal="left"/>
    </xf>
    <xf numFmtId="0" fontId="1" fillId="4" borderId="3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14" fontId="1" fillId="4" borderId="3" xfId="0" applyNumberFormat="1" applyFont="1" applyFill="1" applyBorder="1" applyAlignment="1">
      <alignment horizontal="left" vertical="top"/>
    </xf>
    <xf numFmtId="0" fontId="1" fillId="0" borderId="7" xfId="0" applyFont="1" applyBorder="1" applyAlignment="1">
      <alignment horizontal="left" vertical="top"/>
    </xf>
    <xf numFmtId="0" fontId="1" fillId="0" borderId="3" xfId="0" quotePrefix="1" applyFont="1" applyBorder="1" applyAlignment="1">
      <alignment horizontal="left" vertical="top"/>
    </xf>
    <xf numFmtId="165" fontId="1" fillId="0" borderId="3" xfId="0" applyNumberFormat="1" applyFont="1" applyBorder="1" applyAlignment="1">
      <alignment horizontal="left" vertical="top"/>
    </xf>
    <xf numFmtId="0" fontId="1" fillId="0" borderId="3" xfId="0" applyFont="1" applyBorder="1" applyAlignment="1">
      <alignment horizontal="left"/>
    </xf>
    <xf numFmtId="0" fontId="1" fillId="0" borderId="0" xfId="0" applyFont="1" applyAlignment="1">
      <alignment horizontal="left" vertical="center" wrapText="1"/>
    </xf>
    <xf numFmtId="168" fontId="1" fillId="0" borderId="3" xfId="0" applyNumberFormat="1" applyFont="1" applyBorder="1" applyAlignment="1">
      <alignment horizontal="left" vertical="top"/>
    </xf>
    <xf numFmtId="49" fontId="1" fillId="0" borderId="1" xfId="0" applyNumberFormat="1" applyFont="1" applyBorder="1" applyAlignment="1">
      <alignment horizontal="left"/>
    </xf>
  </cellXfs>
  <cellStyles count="2">
    <cellStyle name="Hiperlink" xfId="1" builtinId="8"/>
    <cellStyle name="Normal" xfId="0" builtinId="0"/>
  </cellStyles>
  <dxfs count="2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pp.powerbi.com/groups/8ee0f462-a0cb-4f4a-9428-8456ed0df5cf/reports/b30fa8aa-55b8-4b19-b91a-8f25b9b8e377/ReportSectionf15e7eb7291d1004ba30?chromeless=tru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10519"/>
  <sheetViews>
    <sheetView topLeftCell="A234" workbookViewId="0">
      <selection activeCell="A257" sqref="A257:B257"/>
    </sheetView>
  </sheetViews>
  <sheetFormatPr defaultRowHeight="14.5" x14ac:dyDescent="0.35"/>
  <cols>
    <col min="1" max="1" width="32.7265625" customWidth="1"/>
    <col min="2" max="2" width="128.7265625" customWidth="1"/>
  </cols>
  <sheetData>
    <row r="1" spans="1:2" x14ac:dyDescent="0.35">
      <c r="A1" s="34" t="s">
        <v>0</v>
      </c>
      <c r="B1" s="34"/>
    </row>
    <row r="2" spans="1:2" x14ac:dyDescent="0.35">
      <c r="A2" s="35" t="s">
        <v>1</v>
      </c>
      <c r="B2" s="35"/>
    </row>
    <row r="3" spans="1:2" x14ac:dyDescent="0.35">
      <c r="A3" s="36" t="s">
        <v>2</v>
      </c>
      <c r="B3" s="36"/>
    </row>
    <row r="4" spans="1:2" x14ac:dyDescent="0.35">
      <c r="A4" s="39">
        <f ca="1">TODAY()-7</f>
        <v>45293</v>
      </c>
      <c r="B4" s="39"/>
    </row>
    <row r="5" spans="1:2" x14ac:dyDescent="0.35">
      <c r="A5" s="39">
        <f ca="1">A4+1</f>
        <v>45294</v>
      </c>
      <c r="B5" s="39"/>
    </row>
    <row r="6" spans="1:2" x14ac:dyDescent="0.35">
      <c r="A6" s="39">
        <f ca="1">A5+1</f>
        <v>45295</v>
      </c>
      <c r="B6" s="39"/>
    </row>
    <row r="7" spans="1:2" x14ac:dyDescent="0.35">
      <c r="A7" s="39">
        <f ca="1">A6+1</f>
        <v>45296</v>
      </c>
      <c r="B7" s="39"/>
    </row>
    <row r="8" spans="1:2" x14ac:dyDescent="0.35">
      <c r="A8" s="39">
        <f ca="1">A7+1</f>
        <v>45297</v>
      </c>
      <c r="B8" s="39"/>
    </row>
    <row r="9" spans="1:2" x14ac:dyDescent="0.35">
      <c r="A9" s="39">
        <f t="shared" ref="A9:A11" ca="1" si="0">A8+1</f>
        <v>45298</v>
      </c>
      <c r="B9" s="39"/>
    </row>
    <row r="10" spans="1:2" x14ac:dyDescent="0.35">
      <c r="A10" s="39">
        <f t="shared" ca="1" si="0"/>
        <v>45299</v>
      </c>
      <c r="B10" s="39"/>
    </row>
    <row r="11" spans="1:2" x14ac:dyDescent="0.35">
      <c r="A11" s="40">
        <f t="shared" ca="1" si="0"/>
        <v>45300</v>
      </c>
      <c r="B11" s="40"/>
    </row>
    <row r="14" spans="1:2" x14ac:dyDescent="0.35">
      <c r="A14" s="34" t="s">
        <v>3</v>
      </c>
      <c r="B14" s="34"/>
    </row>
    <row r="15" spans="1:2" x14ac:dyDescent="0.35">
      <c r="A15" s="35" t="s">
        <v>1</v>
      </c>
      <c r="B15" s="35"/>
    </row>
    <row r="16" spans="1:2" x14ac:dyDescent="0.35">
      <c r="A16" s="36"/>
      <c r="B16" s="36"/>
    </row>
    <row r="17" spans="1:2" x14ac:dyDescent="0.35">
      <c r="A17" s="32" t="s">
        <v>4</v>
      </c>
      <c r="B17" s="32"/>
    </row>
    <row r="18" spans="1:2" x14ac:dyDescent="0.35">
      <c r="A18" s="32" t="s">
        <v>5</v>
      </c>
      <c r="B18" s="32"/>
    </row>
    <row r="19" spans="1:2" x14ac:dyDescent="0.35">
      <c r="A19" s="32" t="s">
        <v>6</v>
      </c>
      <c r="B19" s="32"/>
    </row>
    <row r="20" spans="1:2" x14ac:dyDescent="0.35">
      <c r="A20" s="32" t="s">
        <v>7</v>
      </c>
      <c r="B20" s="32"/>
    </row>
    <row r="21" spans="1:2" x14ac:dyDescent="0.35">
      <c r="A21" s="32" t="s">
        <v>8</v>
      </c>
      <c r="B21" s="32"/>
    </row>
    <row r="22" spans="1:2" x14ac:dyDescent="0.35">
      <c r="A22" s="32" t="s">
        <v>9</v>
      </c>
      <c r="B22" s="32"/>
    </row>
    <row r="23" spans="1:2" x14ac:dyDescent="0.35">
      <c r="A23" s="32" t="s">
        <v>10</v>
      </c>
      <c r="B23" s="32"/>
    </row>
    <row r="24" spans="1:2" x14ac:dyDescent="0.35">
      <c r="A24" s="31" t="s">
        <v>11</v>
      </c>
      <c r="B24" s="31"/>
    </row>
    <row r="25" spans="1:2" x14ac:dyDescent="0.35">
      <c r="A25" s="31" t="s">
        <v>12</v>
      </c>
      <c r="B25" s="31"/>
    </row>
    <row r="26" spans="1:2" x14ac:dyDescent="0.35">
      <c r="A26" s="31" t="s">
        <v>13</v>
      </c>
      <c r="B26" s="31"/>
    </row>
    <row r="27" spans="1:2" x14ac:dyDescent="0.35">
      <c r="A27" s="31" t="s">
        <v>14</v>
      </c>
      <c r="B27" s="31"/>
    </row>
    <row r="28" spans="1:2" x14ac:dyDescent="0.35">
      <c r="A28" s="31" t="s">
        <v>15</v>
      </c>
      <c r="B28" s="31"/>
    </row>
    <row r="29" spans="1:2" x14ac:dyDescent="0.35">
      <c r="A29" s="31" t="s">
        <v>16</v>
      </c>
      <c r="B29" s="31"/>
    </row>
    <row r="30" spans="1:2" x14ac:dyDescent="0.35">
      <c r="A30" s="32" t="s">
        <v>17</v>
      </c>
      <c r="B30" s="32"/>
    </row>
    <row r="31" spans="1:2" x14ac:dyDescent="0.35">
      <c r="A31" s="32" t="s">
        <v>18</v>
      </c>
      <c r="B31" s="32"/>
    </row>
    <row r="32" spans="1:2" x14ac:dyDescent="0.35">
      <c r="A32" s="31" t="s">
        <v>19</v>
      </c>
      <c r="B32" s="31"/>
    </row>
    <row r="33" spans="1:2" x14ac:dyDescent="0.35">
      <c r="A33" s="31" t="s">
        <v>20</v>
      </c>
      <c r="B33" s="31"/>
    </row>
    <row r="34" spans="1:2" x14ac:dyDescent="0.35">
      <c r="A34" s="31" t="s">
        <v>21</v>
      </c>
      <c r="B34" s="31"/>
    </row>
    <row r="35" spans="1:2" x14ac:dyDescent="0.35">
      <c r="A35" s="31" t="s">
        <v>22</v>
      </c>
      <c r="B35" s="31"/>
    </row>
    <row r="36" spans="1:2" x14ac:dyDescent="0.35">
      <c r="A36" s="31" t="s">
        <v>23</v>
      </c>
      <c r="B36" s="31"/>
    </row>
    <row r="37" spans="1:2" x14ac:dyDescent="0.35">
      <c r="A37" s="31" t="s">
        <v>24</v>
      </c>
      <c r="B37" s="31"/>
    </row>
    <row r="38" spans="1:2" x14ac:dyDescent="0.35">
      <c r="A38" s="32"/>
      <c r="B38" s="32"/>
    </row>
    <row r="39" spans="1:2" x14ac:dyDescent="0.35">
      <c r="A39" s="32"/>
      <c r="B39" s="32"/>
    </row>
    <row r="40" spans="1:2" x14ac:dyDescent="0.35">
      <c r="A40" s="32"/>
      <c r="B40" s="32"/>
    </row>
    <row r="41" spans="1:2" x14ac:dyDescent="0.35">
      <c r="A41" s="32"/>
      <c r="B41" s="32"/>
    </row>
    <row r="42" spans="1:2" x14ac:dyDescent="0.35">
      <c r="A42" s="32"/>
      <c r="B42" s="32"/>
    </row>
    <row r="43" spans="1:2" x14ac:dyDescent="0.35">
      <c r="A43" s="32"/>
      <c r="B43" s="32"/>
    </row>
    <row r="44" spans="1:2" x14ac:dyDescent="0.35">
      <c r="A44" s="32"/>
      <c r="B44" s="32"/>
    </row>
    <row r="45" spans="1:2" x14ac:dyDescent="0.35">
      <c r="A45" s="32"/>
      <c r="B45" s="32"/>
    </row>
    <row r="46" spans="1:2" x14ac:dyDescent="0.35">
      <c r="A46" s="32"/>
      <c r="B46" s="32"/>
    </row>
    <row r="47" spans="1:2" x14ac:dyDescent="0.35">
      <c r="A47" s="32"/>
      <c r="B47" s="32"/>
    </row>
    <row r="48" spans="1:2" x14ac:dyDescent="0.35">
      <c r="A48" s="32"/>
      <c r="B48" s="32"/>
    </row>
    <row r="49" spans="1:2" x14ac:dyDescent="0.35">
      <c r="A49" s="32"/>
      <c r="B49" s="32"/>
    </row>
    <row r="50" spans="1:2" x14ac:dyDescent="0.35">
      <c r="A50" s="32"/>
      <c r="B50" s="32"/>
    </row>
    <row r="51" spans="1:2" x14ac:dyDescent="0.35">
      <c r="A51" s="33"/>
      <c r="B51" s="33"/>
    </row>
    <row r="54" spans="1:2" x14ac:dyDescent="0.35">
      <c r="A54" s="34" t="s">
        <v>25</v>
      </c>
      <c r="B54" s="34"/>
    </row>
    <row r="55" spans="1:2" x14ac:dyDescent="0.35">
      <c r="A55" s="35" t="s">
        <v>1</v>
      </c>
      <c r="B55" s="35"/>
    </row>
    <row r="56" spans="1:2" x14ac:dyDescent="0.35">
      <c r="A56" s="36"/>
      <c r="B56" s="36"/>
    </row>
    <row r="57" spans="1:2" x14ac:dyDescent="0.35">
      <c r="A57" s="37" t="s">
        <v>26</v>
      </c>
      <c r="B57" s="37"/>
    </row>
    <row r="58" spans="1:2" x14ac:dyDescent="0.35">
      <c r="A58" s="37" t="s">
        <v>27</v>
      </c>
      <c r="B58" s="37"/>
    </row>
    <row r="59" spans="1:2" x14ac:dyDescent="0.35">
      <c r="A59" s="37" t="s">
        <v>28</v>
      </c>
      <c r="B59" s="37"/>
    </row>
    <row r="60" spans="1:2" x14ac:dyDescent="0.35">
      <c r="A60" s="37" t="s">
        <v>29</v>
      </c>
      <c r="B60" s="37"/>
    </row>
    <row r="61" spans="1:2" x14ac:dyDescent="0.35">
      <c r="A61" s="37" t="s">
        <v>30</v>
      </c>
      <c r="B61" s="37"/>
    </row>
    <row r="62" spans="1:2" x14ac:dyDescent="0.35">
      <c r="A62" s="37" t="s">
        <v>31</v>
      </c>
      <c r="B62" s="37"/>
    </row>
    <row r="63" spans="1:2" x14ac:dyDescent="0.35">
      <c r="A63" s="37" t="s">
        <v>32</v>
      </c>
      <c r="B63" s="37"/>
    </row>
    <row r="64" spans="1:2" x14ac:dyDescent="0.35">
      <c r="A64" s="37" t="s">
        <v>33</v>
      </c>
      <c r="B64" s="37"/>
    </row>
    <row r="65" spans="1:2" x14ac:dyDescent="0.35">
      <c r="A65" s="37" t="s">
        <v>34</v>
      </c>
      <c r="B65" s="37"/>
    </row>
    <row r="66" spans="1:2" x14ac:dyDescent="0.35">
      <c r="A66" s="37" t="s">
        <v>35</v>
      </c>
      <c r="B66" s="37"/>
    </row>
    <row r="67" spans="1:2" x14ac:dyDescent="0.35">
      <c r="A67" s="37" t="s">
        <v>36</v>
      </c>
      <c r="B67" s="37"/>
    </row>
    <row r="68" spans="1:2" x14ac:dyDescent="0.35">
      <c r="A68" s="37" t="s">
        <v>37</v>
      </c>
      <c r="B68" s="37"/>
    </row>
    <row r="69" spans="1:2" x14ac:dyDescent="0.35">
      <c r="A69" s="37" t="s">
        <v>38</v>
      </c>
      <c r="B69" s="37"/>
    </row>
    <row r="70" spans="1:2" x14ac:dyDescent="0.35">
      <c r="A70" s="37" t="s">
        <v>39</v>
      </c>
      <c r="B70" s="37"/>
    </row>
    <row r="71" spans="1:2" x14ac:dyDescent="0.35">
      <c r="A71" s="37" t="s">
        <v>40</v>
      </c>
      <c r="B71" s="37"/>
    </row>
    <row r="72" spans="1:2" x14ac:dyDescent="0.35">
      <c r="A72" s="37" t="s">
        <v>41</v>
      </c>
      <c r="B72" s="37"/>
    </row>
    <row r="73" spans="1:2" x14ac:dyDescent="0.35">
      <c r="A73" s="37" t="s">
        <v>42</v>
      </c>
      <c r="B73" s="37"/>
    </row>
    <row r="74" spans="1:2" x14ac:dyDescent="0.35">
      <c r="A74" s="37" t="s">
        <v>43</v>
      </c>
      <c r="B74" s="37"/>
    </row>
    <row r="75" spans="1:2" x14ac:dyDescent="0.35">
      <c r="A75" s="37" t="s">
        <v>44</v>
      </c>
      <c r="B75" s="37"/>
    </row>
    <row r="76" spans="1:2" x14ac:dyDescent="0.35">
      <c r="A76" s="37" t="s">
        <v>45</v>
      </c>
      <c r="B76" s="37"/>
    </row>
    <row r="77" spans="1:2" x14ac:dyDescent="0.35">
      <c r="A77" s="37"/>
      <c r="B77" s="37"/>
    </row>
    <row r="78" spans="1:2" x14ac:dyDescent="0.35">
      <c r="A78" s="37"/>
      <c r="B78" s="37"/>
    </row>
    <row r="79" spans="1:2" x14ac:dyDescent="0.35">
      <c r="A79" s="37"/>
      <c r="B79" s="37"/>
    </row>
    <row r="80" spans="1:2" x14ac:dyDescent="0.35">
      <c r="A80" s="37"/>
      <c r="B80" s="37"/>
    </row>
    <row r="81" spans="1:2" x14ac:dyDescent="0.35">
      <c r="A81" s="37"/>
      <c r="B81" s="37"/>
    </row>
    <row r="82" spans="1:2" x14ac:dyDescent="0.35">
      <c r="A82" s="37"/>
      <c r="B82" s="37"/>
    </row>
    <row r="83" spans="1:2" x14ac:dyDescent="0.35">
      <c r="A83" s="38"/>
      <c r="B83" s="38"/>
    </row>
    <row r="86" spans="1:2" x14ac:dyDescent="0.35">
      <c r="A86" s="34" t="s">
        <v>46</v>
      </c>
      <c r="B86" s="34"/>
    </row>
    <row r="87" spans="1:2" x14ac:dyDescent="0.35">
      <c r="A87" s="35" t="s">
        <v>1</v>
      </c>
      <c r="B87" s="35"/>
    </row>
    <row r="88" spans="1:2" x14ac:dyDescent="0.35">
      <c r="A88" s="37" t="s">
        <v>47</v>
      </c>
      <c r="B88" s="37"/>
    </row>
    <row r="89" spans="1:2" x14ac:dyDescent="0.35">
      <c r="A89" s="37" t="s">
        <v>48</v>
      </c>
      <c r="B89" s="37"/>
    </row>
    <row r="90" spans="1:2" x14ac:dyDescent="0.35">
      <c r="A90" s="37" t="s">
        <v>49</v>
      </c>
      <c r="B90" s="37"/>
    </row>
    <row r="91" spans="1:2" x14ac:dyDescent="0.35">
      <c r="A91" s="37" t="s">
        <v>50</v>
      </c>
      <c r="B91" s="37"/>
    </row>
    <row r="92" spans="1:2" x14ac:dyDescent="0.35">
      <c r="A92" s="37" t="s">
        <v>51</v>
      </c>
      <c r="B92" s="37"/>
    </row>
    <row r="93" spans="1:2" x14ac:dyDescent="0.35">
      <c r="A93" s="37" t="s">
        <v>52</v>
      </c>
      <c r="B93" s="37"/>
    </row>
    <row r="94" spans="1:2" x14ac:dyDescent="0.35">
      <c r="A94" s="37" t="s">
        <v>53</v>
      </c>
      <c r="B94" s="37"/>
    </row>
    <row r="95" spans="1:2" x14ac:dyDescent="0.35">
      <c r="A95" s="37" t="s">
        <v>54</v>
      </c>
      <c r="B95" s="37"/>
    </row>
    <row r="96" spans="1:2" x14ac:dyDescent="0.35">
      <c r="A96" s="37" t="s">
        <v>55</v>
      </c>
      <c r="B96" s="37"/>
    </row>
    <row r="97" spans="1:2" x14ac:dyDescent="0.35">
      <c r="A97" s="37" t="s">
        <v>56</v>
      </c>
      <c r="B97" s="37"/>
    </row>
    <row r="98" spans="1:2" x14ac:dyDescent="0.35">
      <c r="A98" s="37" t="s">
        <v>57</v>
      </c>
      <c r="B98" s="37"/>
    </row>
    <row r="99" spans="1:2" x14ac:dyDescent="0.35">
      <c r="A99" s="37" t="s">
        <v>58</v>
      </c>
      <c r="B99" s="37"/>
    </row>
    <row r="100" spans="1:2" x14ac:dyDescent="0.35">
      <c r="A100" s="37" t="s">
        <v>59</v>
      </c>
      <c r="B100" s="37"/>
    </row>
    <row r="101" spans="1:2" x14ac:dyDescent="0.35">
      <c r="A101" s="37" t="s">
        <v>60</v>
      </c>
      <c r="B101" s="37"/>
    </row>
    <row r="102" spans="1:2" x14ac:dyDescent="0.35">
      <c r="A102" s="37" t="s">
        <v>61</v>
      </c>
      <c r="B102" s="37"/>
    </row>
    <row r="103" spans="1:2" x14ac:dyDescent="0.35">
      <c r="A103" s="37" t="s">
        <v>62</v>
      </c>
      <c r="B103" s="37"/>
    </row>
    <row r="104" spans="1:2" x14ac:dyDescent="0.35">
      <c r="A104" s="37" t="s">
        <v>63</v>
      </c>
      <c r="B104" s="37"/>
    </row>
    <row r="105" spans="1:2" x14ac:dyDescent="0.35">
      <c r="A105" s="37" t="s">
        <v>64</v>
      </c>
      <c r="B105" s="37"/>
    </row>
    <row r="106" spans="1:2" x14ac:dyDescent="0.35">
      <c r="A106" s="37" t="s">
        <v>65</v>
      </c>
      <c r="B106" s="37"/>
    </row>
    <row r="107" spans="1:2" x14ac:dyDescent="0.35">
      <c r="A107" s="37" t="s">
        <v>66</v>
      </c>
      <c r="B107" s="37"/>
    </row>
    <row r="108" spans="1:2" x14ac:dyDescent="0.35">
      <c r="A108" s="37" t="s">
        <v>67</v>
      </c>
      <c r="B108" s="37"/>
    </row>
    <row r="109" spans="1:2" x14ac:dyDescent="0.35">
      <c r="A109" s="37" t="s">
        <v>68</v>
      </c>
      <c r="B109" s="37"/>
    </row>
    <row r="110" spans="1:2" x14ac:dyDescent="0.35">
      <c r="A110" s="37" t="s">
        <v>69</v>
      </c>
      <c r="B110" s="37"/>
    </row>
    <row r="111" spans="1:2" x14ac:dyDescent="0.35">
      <c r="A111" s="37" t="s">
        <v>70</v>
      </c>
      <c r="B111" s="37"/>
    </row>
    <row r="112" spans="1:2" x14ac:dyDescent="0.35">
      <c r="A112" s="37" t="s">
        <v>71</v>
      </c>
      <c r="B112" s="37"/>
    </row>
    <row r="113" spans="1:2" x14ac:dyDescent="0.35">
      <c r="A113" s="37" t="s">
        <v>72</v>
      </c>
      <c r="B113" s="37"/>
    </row>
    <row r="114" spans="1:2" x14ac:dyDescent="0.35">
      <c r="A114" s="37" t="s">
        <v>73</v>
      </c>
      <c r="B114" s="37"/>
    </row>
    <row r="115" spans="1:2" x14ac:dyDescent="0.35">
      <c r="A115" s="37" t="s">
        <v>74</v>
      </c>
      <c r="B115" s="37"/>
    </row>
    <row r="116" spans="1:2" x14ac:dyDescent="0.35">
      <c r="A116" s="37" t="s">
        <v>75</v>
      </c>
      <c r="B116" s="37"/>
    </row>
    <row r="117" spans="1:2" x14ac:dyDescent="0.35">
      <c r="A117" s="37" t="s">
        <v>76</v>
      </c>
      <c r="B117" s="37"/>
    </row>
    <row r="118" spans="1:2" x14ac:dyDescent="0.35">
      <c r="A118" s="37" t="s">
        <v>77</v>
      </c>
      <c r="B118" s="37"/>
    </row>
    <row r="119" spans="1:2" x14ac:dyDescent="0.35">
      <c r="A119" s="37" t="s">
        <v>78</v>
      </c>
      <c r="B119" s="37"/>
    </row>
    <row r="120" spans="1:2" x14ac:dyDescent="0.35">
      <c r="A120" s="37" t="s">
        <v>79</v>
      </c>
      <c r="B120" s="37"/>
    </row>
    <row r="121" spans="1:2" x14ac:dyDescent="0.35">
      <c r="A121" s="37" t="s">
        <v>80</v>
      </c>
      <c r="B121" s="37"/>
    </row>
    <row r="122" spans="1:2" x14ac:dyDescent="0.35">
      <c r="A122" s="37" t="s">
        <v>81</v>
      </c>
      <c r="B122" s="37"/>
    </row>
    <row r="123" spans="1:2" x14ac:dyDescent="0.35">
      <c r="A123" s="37" t="s">
        <v>82</v>
      </c>
      <c r="B123" s="37"/>
    </row>
    <row r="124" spans="1:2" x14ac:dyDescent="0.35">
      <c r="A124" s="37" t="s">
        <v>83</v>
      </c>
      <c r="B124" s="37"/>
    </row>
    <row r="125" spans="1:2" x14ac:dyDescent="0.35">
      <c r="A125" s="37" t="s">
        <v>84</v>
      </c>
      <c r="B125" s="37"/>
    </row>
    <row r="126" spans="1:2" x14ac:dyDescent="0.35">
      <c r="A126" s="37" t="s">
        <v>85</v>
      </c>
      <c r="B126" s="37"/>
    </row>
    <row r="127" spans="1:2" x14ac:dyDescent="0.35">
      <c r="A127" s="37" t="s">
        <v>86</v>
      </c>
      <c r="B127" s="37"/>
    </row>
    <row r="128" spans="1:2" x14ac:dyDescent="0.35">
      <c r="A128" s="37" t="s">
        <v>87</v>
      </c>
      <c r="B128" s="37"/>
    </row>
    <row r="129" spans="1:2" x14ac:dyDescent="0.35">
      <c r="A129" s="37" t="s">
        <v>88</v>
      </c>
      <c r="B129" s="37"/>
    </row>
    <row r="130" spans="1:2" x14ac:dyDescent="0.35">
      <c r="A130" s="37" t="s">
        <v>89</v>
      </c>
      <c r="B130" s="37"/>
    </row>
    <row r="131" spans="1:2" x14ac:dyDescent="0.35">
      <c r="A131" s="37" t="s">
        <v>90</v>
      </c>
      <c r="B131" s="37"/>
    </row>
    <row r="132" spans="1:2" x14ac:dyDescent="0.35">
      <c r="A132" s="37" t="s">
        <v>91</v>
      </c>
      <c r="B132" s="37"/>
    </row>
    <row r="133" spans="1:2" x14ac:dyDescent="0.35">
      <c r="A133" s="37" t="s">
        <v>92</v>
      </c>
      <c r="B133" s="37"/>
    </row>
    <row r="134" spans="1:2" x14ac:dyDescent="0.35">
      <c r="A134" s="37" t="s">
        <v>93</v>
      </c>
      <c r="B134" s="37"/>
    </row>
    <row r="135" spans="1:2" x14ac:dyDescent="0.35">
      <c r="A135" s="37" t="s">
        <v>94</v>
      </c>
      <c r="B135" s="37"/>
    </row>
    <row r="136" spans="1:2" x14ac:dyDescent="0.35">
      <c r="A136" s="37" t="s">
        <v>95</v>
      </c>
      <c r="B136" s="37"/>
    </row>
    <row r="137" spans="1:2" x14ac:dyDescent="0.35">
      <c r="A137" s="37" t="s">
        <v>96</v>
      </c>
      <c r="B137" s="37"/>
    </row>
    <row r="138" spans="1:2" x14ac:dyDescent="0.35">
      <c r="A138" s="37" t="s">
        <v>97</v>
      </c>
      <c r="B138" s="37"/>
    </row>
    <row r="139" spans="1:2" x14ac:dyDescent="0.35">
      <c r="A139" s="37" t="s">
        <v>98</v>
      </c>
      <c r="B139" s="37"/>
    </row>
    <row r="140" spans="1:2" x14ac:dyDescent="0.35">
      <c r="A140" s="37" t="s">
        <v>99</v>
      </c>
      <c r="B140" s="37"/>
    </row>
    <row r="141" spans="1:2" x14ac:dyDescent="0.35">
      <c r="A141" s="37" t="s">
        <v>100</v>
      </c>
      <c r="B141" s="37"/>
    </row>
    <row r="142" spans="1:2" x14ac:dyDescent="0.35">
      <c r="A142" s="37" t="s">
        <v>101</v>
      </c>
      <c r="B142" s="37"/>
    </row>
    <row r="143" spans="1:2" x14ac:dyDescent="0.35">
      <c r="A143" s="37" t="s">
        <v>102</v>
      </c>
      <c r="B143" s="37"/>
    </row>
    <row r="144" spans="1:2" x14ac:dyDescent="0.35">
      <c r="A144" s="37" t="s">
        <v>103</v>
      </c>
      <c r="B144" s="37"/>
    </row>
    <row r="145" spans="1:2" x14ac:dyDescent="0.35">
      <c r="A145" s="37" t="s">
        <v>104</v>
      </c>
      <c r="B145" s="37"/>
    </row>
    <row r="146" spans="1:2" x14ac:dyDescent="0.35">
      <c r="A146" s="37" t="s">
        <v>105</v>
      </c>
      <c r="B146" s="37"/>
    </row>
    <row r="147" spans="1:2" x14ac:dyDescent="0.35">
      <c r="A147" s="37" t="s">
        <v>106</v>
      </c>
      <c r="B147" s="37"/>
    </row>
    <row r="148" spans="1:2" x14ac:dyDescent="0.35">
      <c r="A148" s="37" t="s">
        <v>107</v>
      </c>
      <c r="B148" s="37"/>
    </row>
    <row r="149" spans="1:2" x14ac:dyDescent="0.35">
      <c r="A149" s="37" t="s">
        <v>108</v>
      </c>
      <c r="B149" s="37"/>
    </row>
    <row r="150" spans="1:2" x14ac:dyDescent="0.35">
      <c r="A150" s="37" t="s">
        <v>109</v>
      </c>
      <c r="B150" s="37"/>
    </row>
    <row r="151" spans="1:2" x14ac:dyDescent="0.35">
      <c r="A151" s="37" t="s">
        <v>110</v>
      </c>
      <c r="B151" s="37"/>
    </row>
    <row r="152" spans="1:2" x14ac:dyDescent="0.35">
      <c r="A152" s="37" t="s">
        <v>111</v>
      </c>
      <c r="B152" s="37"/>
    </row>
    <row r="153" spans="1:2" x14ac:dyDescent="0.35">
      <c r="A153" s="37" t="s">
        <v>112</v>
      </c>
      <c r="B153" s="37"/>
    </row>
    <row r="154" spans="1:2" x14ac:dyDescent="0.35">
      <c r="A154" s="37" t="s">
        <v>113</v>
      </c>
      <c r="B154" s="37"/>
    </row>
    <row r="155" spans="1:2" x14ac:dyDescent="0.35">
      <c r="A155" s="37" t="s">
        <v>114</v>
      </c>
      <c r="B155" s="37"/>
    </row>
    <row r="156" spans="1:2" x14ac:dyDescent="0.35">
      <c r="A156" s="37" t="s">
        <v>115</v>
      </c>
      <c r="B156" s="37"/>
    </row>
    <row r="157" spans="1:2" x14ac:dyDescent="0.35">
      <c r="A157" s="37" t="s">
        <v>116</v>
      </c>
      <c r="B157" s="37"/>
    </row>
    <row r="158" spans="1:2" x14ac:dyDescent="0.35">
      <c r="A158" s="37" t="s">
        <v>117</v>
      </c>
      <c r="B158" s="37"/>
    </row>
    <row r="159" spans="1:2" x14ac:dyDescent="0.35">
      <c r="A159" s="37" t="s">
        <v>118</v>
      </c>
      <c r="B159" s="37"/>
    </row>
    <row r="160" spans="1:2" x14ac:dyDescent="0.35">
      <c r="A160" s="37" t="s">
        <v>119</v>
      </c>
      <c r="B160" s="37"/>
    </row>
    <row r="161" spans="1:2" x14ac:dyDescent="0.35">
      <c r="A161" s="37" t="s">
        <v>120</v>
      </c>
      <c r="B161" s="37"/>
    </row>
    <row r="162" spans="1:2" x14ac:dyDescent="0.35">
      <c r="A162" s="37" t="s">
        <v>121</v>
      </c>
      <c r="B162" s="37"/>
    </row>
    <row r="163" spans="1:2" x14ac:dyDescent="0.35">
      <c r="A163" s="37" t="s">
        <v>122</v>
      </c>
      <c r="B163" s="37"/>
    </row>
    <row r="164" spans="1:2" x14ac:dyDescent="0.35">
      <c r="A164" s="37" t="s">
        <v>123</v>
      </c>
      <c r="B164" s="37"/>
    </row>
    <row r="165" spans="1:2" x14ac:dyDescent="0.35">
      <c r="A165" s="37" t="s">
        <v>124</v>
      </c>
      <c r="B165" s="37"/>
    </row>
    <row r="166" spans="1:2" x14ac:dyDescent="0.35">
      <c r="A166" s="37"/>
      <c r="B166" s="37"/>
    </row>
    <row r="167" spans="1:2" x14ac:dyDescent="0.35">
      <c r="A167" s="37"/>
      <c r="B167" s="37"/>
    </row>
    <row r="168" spans="1:2" x14ac:dyDescent="0.35">
      <c r="A168" s="37"/>
      <c r="B168" s="37"/>
    </row>
    <row r="169" spans="1:2" x14ac:dyDescent="0.35">
      <c r="A169" s="37"/>
      <c r="B169" s="37"/>
    </row>
    <row r="170" spans="1:2" x14ac:dyDescent="0.35">
      <c r="A170" s="37"/>
      <c r="B170" s="37"/>
    </row>
    <row r="171" spans="1:2" x14ac:dyDescent="0.35">
      <c r="A171" s="37"/>
      <c r="B171" s="37"/>
    </row>
    <row r="172" spans="1:2" x14ac:dyDescent="0.35">
      <c r="A172" s="37"/>
      <c r="B172" s="37"/>
    </row>
    <row r="173" spans="1:2" x14ac:dyDescent="0.35">
      <c r="A173" s="37"/>
      <c r="B173" s="37"/>
    </row>
    <row r="174" spans="1:2" x14ac:dyDescent="0.35">
      <c r="A174" s="37"/>
      <c r="B174" s="37"/>
    </row>
    <row r="175" spans="1:2" x14ac:dyDescent="0.35">
      <c r="A175" s="37"/>
      <c r="B175" s="37"/>
    </row>
    <row r="176" spans="1:2" x14ac:dyDescent="0.35">
      <c r="A176" s="37"/>
      <c r="B176" s="37"/>
    </row>
    <row r="177" spans="1:2" x14ac:dyDescent="0.35">
      <c r="A177" s="37"/>
      <c r="B177" s="37"/>
    </row>
    <row r="178" spans="1:2" x14ac:dyDescent="0.35">
      <c r="A178" s="37"/>
      <c r="B178" s="37"/>
    </row>
    <row r="179" spans="1:2" x14ac:dyDescent="0.35">
      <c r="A179" s="37"/>
      <c r="B179" s="37"/>
    </row>
    <row r="180" spans="1:2" x14ac:dyDescent="0.35">
      <c r="A180" s="37"/>
      <c r="B180" s="37"/>
    </row>
    <row r="181" spans="1:2" x14ac:dyDescent="0.35">
      <c r="A181" s="37"/>
      <c r="B181" s="37"/>
    </row>
    <row r="182" spans="1:2" x14ac:dyDescent="0.35">
      <c r="A182" s="37"/>
      <c r="B182" s="37"/>
    </row>
    <row r="183" spans="1:2" x14ac:dyDescent="0.35">
      <c r="A183" s="37"/>
      <c r="B183" s="37"/>
    </row>
    <row r="184" spans="1:2" x14ac:dyDescent="0.35">
      <c r="A184" s="37"/>
      <c r="B184" s="37"/>
    </row>
    <row r="185" spans="1:2" x14ac:dyDescent="0.35">
      <c r="A185" s="37"/>
      <c r="B185" s="37"/>
    </row>
    <row r="186" spans="1:2" x14ac:dyDescent="0.35">
      <c r="A186" s="37"/>
      <c r="B186" s="37"/>
    </row>
    <row r="187" spans="1:2" x14ac:dyDescent="0.35">
      <c r="A187" s="37"/>
      <c r="B187" s="37"/>
    </row>
    <row r="188" spans="1:2" x14ac:dyDescent="0.35">
      <c r="A188" s="37"/>
      <c r="B188" s="37"/>
    </row>
    <row r="189" spans="1:2" x14ac:dyDescent="0.35">
      <c r="A189" s="37"/>
      <c r="B189" s="37"/>
    </row>
    <row r="190" spans="1:2" x14ac:dyDescent="0.35">
      <c r="A190" s="37"/>
      <c r="B190" s="37"/>
    </row>
    <row r="191" spans="1:2" x14ac:dyDescent="0.35">
      <c r="A191" s="37"/>
      <c r="B191" s="37"/>
    </row>
    <row r="192" spans="1:2" x14ac:dyDescent="0.35">
      <c r="A192" s="37"/>
      <c r="B192" s="37"/>
    </row>
    <row r="193" spans="1:2" x14ac:dyDescent="0.35">
      <c r="A193" s="37"/>
      <c r="B193" s="37"/>
    </row>
    <row r="194" spans="1:2" x14ac:dyDescent="0.35">
      <c r="A194" s="37"/>
      <c r="B194" s="37"/>
    </row>
    <row r="195" spans="1:2" x14ac:dyDescent="0.35">
      <c r="A195" s="38"/>
      <c r="B195" s="38"/>
    </row>
    <row r="198" spans="1:2" x14ac:dyDescent="0.35">
      <c r="A198" s="34" t="s">
        <v>125</v>
      </c>
      <c r="B198" s="34"/>
    </row>
    <row r="199" spans="1:2" x14ac:dyDescent="0.35">
      <c r="A199" s="12" t="s">
        <v>126</v>
      </c>
      <c r="B199" s="12" t="s">
        <v>127</v>
      </c>
    </row>
    <row r="200" spans="1:2" x14ac:dyDescent="0.35">
      <c r="A200" s="24" t="s">
        <v>128</v>
      </c>
      <c r="B200" s="22" t="s">
        <v>129</v>
      </c>
    </row>
    <row r="201" spans="1:2" x14ac:dyDescent="0.35">
      <c r="A201" s="24" t="s">
        <v>130</v>
      </c>
      <c r="B201" s="22" t="s">
        <v>131</v>
      </c>
    </row>
    <row r="202" spans="1:2" x14ac:dyDescent="0.35">
      <c r="A202" s="24" t="s">
        <v>132</v>
      </c>
      <c r="B202" s="22" t="s">
        <v>133</v>
      </c>
    </row>
    <row r="203" spans="1:2" x14ac:dyDescent="0.35">
      <c r="A203" s="24" t="s">
        <v>134</v>
      </c>
      <c r="B203" s="22" t="s">
        <v>135</v>
      </c>
    </row>
    <row r="204" spans="1:2" x14ac:dyDescent="0.35">
      <c r="A204" s="24" t="s">
        <v>136</v>
      </c>
      <c r="B204" s="22" t="s">
        <v>137</v>
      </c>
    </row>
    <row r="205" spans="1:2" x14ac:dyDescent="0.35">
      <c r="A205" s="24" t="s">
        <v>138</v>
      </c>
      <c r="B205" s="22" t="s">
        <v>139</v>
      </c>
    </row>
    <row r="206" spans="1:2" x14ac:dyDescent="0.35">
      <c r="A206" s="24" t="s">
        <v>140</v>
      </c>
      <c r="B206" s="22" t="s">
        <v>141</v>
      </c>
    </row>
    <row r="207" spans="1:2" x14ac:dyDescent="0.35">
      <c r="A207" s="24" t="s">
        <v>142</v>
      </c>
      <c r="B207" s="22" t="s">
        <v>143</v>
      </c>
    </row>
    <row r="208" spans="1:2" x14ac:dyDescent="0.35">
      <c r="A208" s="24" t="s">
        <v>144</v>
      </c>
      <c r="B208" s="22" t="s">
        <v>145</v>
      </c>
    </row>
    <row r="209" spans="1:2" x14ac:dyDescent="0.35">
      <c r="A209" s="24" t="s">
        <v>146</v>
      </c>
      <c r="B209" s="22" t="s">
        <v>147</v>
      </c>
    </row>
    <row r="210" spans="1:2" x14ac:dyDescent="0.35">
      <c r="A210" s="24" t="s">
        <v>148</v>
      </c>
      <c r="B210" s="22" t="s">
        <v>149</v>
      </c>
    </row>
    <row r="211" spans="1:2" x14ac:dyDescent="0.35">
      <c r="A211" s="24" t="s">
        <v>150</v>
      </c>
      <c r="B211" s="22" t="s">
        <v>151</v>
      </c>
    </row>
    <row r="212" spans="1:2" x14ac:dyDescent="0.35">
      <c r="A212" s="24" t="s">
        <v>152</v>
      </c>
      <c r="B212" s="22" t="s">
        <v>153</v>
      </c>
    </row>
    <row r="213" spans="1:2" x14ac:dyDescent="0.35">
      <c r="A213" s="24" t="s">
        <v>154</v>
      </c>
      <c r="B213" s="22" t="s">
        <v>155</v>
      </c>
    </row>
    <row r="214" spans="1:2" x14ac:dyDescent="0.35">
      <c r="A214" s="24"/>
      <c r="B214" s="22"/>
    </row>
    <row r="215" spans="1:2" x14ac:dyDescent="0.35">
      <c r="A215" s="25"/>
      <c r="B215" s="23"/>
    </row>
    <row r="218" spans="1:2" x14ac:dyDescent="0.35">
      <c r="A218" s="34" t="s">
        <v>156</v>
      </c>
      <c r="B218" s="34"/>
    </row>
    <row r="219" spans="1:2" x14ac:dyDescent="0.35">
      <c r="A219" s="35" t="s">
        <v>1</v>
      </c>
      <c r="B219" s="35"/>
    </row>
    <row r="220" spans="1:2" x14ac:dyDescent="0.35">
      <c r="A220" s="37" t="s">
        <v>157</v>
      </c>
      <c r="B220" s="37"/>
    </row>
    <row r="221" spans="1:2" x14ac:dyDescent="0.35">
      <c r="A221" s="37" t="s">
        <v>158</v>
      </c>
      <c r="B221" s="37"/>
    </row>
    <row r="222" spans="1:2" x14ac:dyDescent="0.35">
      <c r="A222" s="22" t="s">
        <v>159</v>
      </c>
      <c r="B222" s="22"/>
    </row>
    <row r="223" spans="1:2" x14ac:dyDescent="0.35">
      <c r="A223" s="22" t="s">
        <v>160</v>
      </c>
      <c r="B223" s="22"/>
    </row>
    <row r="224" spans="1:2" x14ac:dyDescent="0.35">
      <c r="A224" s="22" t="s">
        <v>161</v>
      </c>
      <c r="B224" s="22"/>
    </row>
    <row r="225" spans="1:2" x14ac:dyDescent="0.35">
      <c r="A225" s="22" t="s">
        <v>162</v>
      </c>
      <c r="B225" s="22"/>
    </row>
    <row r="226" spans="1:2" x14ac:dyDescent="0.35">
      <c r="A226" s="22" t="s">
        <v>163</v>
      </c>
      <c r="B226" s="22"/>
    </row>
    <row r="227" spans="1:2" x14ac:dyDescent="0.35">
      <c r="A227" s="37"/>
      <c r="B227" s="37"/>
    </row>
    <row r="228" spans="1:2" x14ac:dyDescent="0.35">
      <c r="A228" s="37"/>
      <c r="B228" s="37"/>
    </row>
    <row r="229" spans="1:2" x14ac:dyDescent="0.35">
      <c r="A229" s="37"/>
      <c r="B229" s="37"/>
    </row>
    <row r="230" spans="1:2" x14ac:dyDescent="0.35">
      <c r="A230" s="37"/>
      <c r="B230" s="37"/>
    </row>
    <row r="231" spans="1:2" x14ac:dyDescent="0.35">
      <c r="A231" s="37"/>
      <c r="B231" s="37"/>
    </row>
    <row r="232" spans="1:2" x14ac:dyDescent="0.35">
      <c r="A232" s="37"/>
      <c r="B232" s="37"/>
    </row>
    <row r="233" spans="1:2" x14ac:dyDescent="0.35">
      <c r="A233" s="37"/>
      <c r="B233" s="37"/>
    </row>
    <row r="234" spans="1:2" x14ac:dyDescent="0.35">
      <c r="A234" s="37"/>
      <c r="B234" s="37"/>
    </row>
    <row r="235" spans="1:2" x14ac:dyDescent="0.35">
      <c r="A235" s="38"/>
      <c r="B235" s="38"/>
    </row>
    <row r="238" spans="1:2" x14ac:dyDescent="0.35">
      <c r="A238" s="34" t="s">
        <v>164</v>
      </c>
      <c r="B238" s="34"/>
    </row>
    <row r="239" spans="1:2" x14ac:dyDescent="0.35">
      <c r="A239" s="35" t="s">
        <v>1</v>
      </c>
      <c r="B239" s="35"/>
    </row>
    <row r="240" spans="1:2" x14ac:dyDescent="0.35">
      <c r="A240" s="37" t="s">
        <v>165</v>
      </c>
      <c r="B240" s="37"/>
    </row>
    <row r="241" spans="1:2" x14ac:dyDescent="0.35">
      <c r="A241" s="37" t="s">
        <v>158</v>
      </c>
      <c r="B241" s="37"/>
    </row>
    <row r="242" spans="1:2" x14ac:dyDescent="0.35">
      <c r="A242" s="37" t="s">
        <v>166</v>
      </c>
      <c r="B242" s="37"/>
    </row>
    <row r="243" spans="1:2" x14ac:dyDescent="0.35">
      <c r="A243" s="37" t="s">
        <v>167</v>
      </c>
      <c r="B243" s="37"/>
    </row>
    <row r="244" spans="1:2" x14ac:dyDescent="0.35">
      <c r="A244" s="37" t="s">
        <v>168</v>
      </c>
      <c r="B244" s="37"/>
    </row>
    <row r="245" spans="1:2" x14ac:dyDescent="0.35">
      <c r="A245" s="37" t="s">
        <v>169</v>
      </c>
      <c r="B245" s="37"/>
    </row>
    <row r="246" spans="1:2" x14ac:dyDescent="0.35">
      <c r="A246" s="37" t="s">
        <v>159</v>
      </c>
      <c r="B246" s="37"/>
    </row>
    <row r="247" spans="1:2" x14ac:dyDescent="0.35">
      <c r="A247" s="37" t="s">
        <v>160</v>
      </c>
      <c r="B247" s="37"/>
    </row>
    <row r="248" spans="1:2" x14ac:dyDescent="0.35">
      <c r="A248" s="37" t="s">
        <v>161</v>
      </c>
      <c r="B248" s="37"/>
    </row>
    <row r="249" spans="1:2" x14ac:dyDescent="0.35">
      <c r="A249" s="37" t="s">
        <v>170</v>
      </c>
      <c r="B249" s="37"/>
    </row>
    <row r="250" spans="1:2" x14ac:dyDescent="0.35">
      <c r="A250" s="37" t="s">
        <v>171</v>
      </c>
      <c r="B250" s="37"/>
    </row>
    <row r="251" spans="1:2" x14ac:dyDescent="0.35">
      <c r="A251" s="37" t="s">
        <v>172</v>
      </c>
      <c r="B251" s="37"/>
    </row>
    <row r="252" spans="1:2" x14ac:dyDescent="0.35">
      <c r="A252" s="37" t="s">
        <v>173</v>
      </c>
      <c r="B252" s="37"/>
    </row>
    <row r="253" spans="1:2" x14ac:dyDescent="0.35">
      <c r="A253" s="37" t="s">
        <v>174</v>
      </c>
      <c r="B253" s="37"/>
    </row>
    <row r="254" spans="1:2" x14ac:dyDescent="0.35">
      <c r="A254" s="37" t="s">
        <v>175</v>
      </c>
      <c r="B254" s="37"/>
    </row>
    <row r="255" spans="1:2" x14ac:dyDescent="0.35">
      <c r="A255" s="37" t="s">
        <v>163</v>
      </c>
      <c r="B255" s="37"/>
    </row>
    <row r="256" spans="1:2" x14ac:dyDescent="0.35">
      <c r="A256" s="37"/>
      <c r="B256" s="37"/>
    </row>
    <row r="257" spans="1:2" x14ac:dyDescent="0.35">
      <c r="A257" s="37"/>
      <c r="B257" s="37"/>
    </row>
    <row r="258" spans="1:2" x14ac:dyDescent="0.35">
      <c r="A258" s="37"/>
      <c r="B258" s="37"/>
    </row>
    <row r="259" spans="1:2" x14ac:dyDescent="0.35">
      <c r="A259" s="37"/>
      <c r="B259" s="37"/>
    </row>
    <row r="260" spans="1:2" x14ac:dyDescent="0.35">
      <c r="A260" s="37"/>
      <c r="B260" s="37"/>
    </row>
    <row r="261" spans="1:2" x14ac:dyDescent="0.35">
      <c r="A261" s="37"/>
      <c r="B261" s="37"/>
    </row>
    <row r="262" spans="1:2" x14ac:dyDescent="0.35">
      <c r="A262" s="37"/>
      <c r="B262" s="37"/>
    </row>
    <row r="263" spans="1:2" x14ac:dyDescent="0.35">
      <c r="A263" s="37"/>
      <c r="B263" s="37"/>
    </row>
    <row r="264" spans="1:2" x14ac:dyDescent="0.35">
      <c r="A264" s="37"/>
      <c r="B264" s="37"/>
    </row>
    <row r="265" spans="1:2" x14ac:dyDescent="0.35">
      <c r="A265" s="37"/>
      <c r="B265" s="37"/>
    </row>
    <row r="266" spans="1:2" x14ac:dyDescent="0.35">
      <c r="A266" s="37"/>
      <c r="B266" s="37"/>
    </row>
    <row r="267" spans="1:2" x14ac:dyDescent="0.35">
      <c r="A267" s="37"/>
      <c r="B267" s="37"/>
    </row>
    <row r="268" spans="1:2" x14ac:dyDescent="0.35">
      <c r="A268" s="37"/>
      <c r="B268" s="37"/>
    </row>
    <row r="269" spans="1:2" x14ac:dyDescent="0.35">
      <c r="A269" s="37"/>
      <c r="B269" s="37"/>
    </row>
    <row r="270" spans="1:2" x14ac:dyDescent="0.35">
      <c r="A270" s="37"/>
      <c r="B270" s="37"/>
    </row>
    <row r="271" spans="1:2" x14ac:dyDescent="0.35">
      <c r="A271" s="38"/>
      <c r="B271" s="38"/>
    </row>
    <row r="274" spans="1:2" x14ac:dyDescent="0.35">
      <c r="A274" s="34" t="s">
        <v>176</v>
      </c>
      <c r="B274" s="34"/>
    </row>
    <row r="275" spans="1:2" x14ac:dyDescent="0.35">
      <c r="A275" s="35" t="s">
        <v>1</v>
      </c>
      <c r="B275" s="35"/>
    </row>
    <row r="276" spans="1:2" x14ac:dyDescent="0.35">
      <c r="A276" s="36" t="s">
        <v>177</v>
      </c>
      <c r="B276" s="36"/>
    </row>
    <row r="277" spans="1:2" x14ac:dyDescent="0.35">
      <c r="A277" s="32" t="s">
        <v>178</v>
      </c>
      <c r="B277" s="32"/>
    </row>
    <row r="278" spans="1:2" x14ac:dyDescent="0.35">
      <c r="A278" s="32" t="s">
        <v>179</v>
      </c>
      <c r="B278" s="32"/>
    </row>
    <row r="279" spans="1:2" x14ac:dyDescent="0.35">
      <c r="A279" s="32" t="s">
        <v>180</v>
      </c>
      <c r="B279" s="32"/>
    </row>
    <row r="280" spans="1:2" x14ac:dyDescent="0.35">
      <c r="A280" s="32" t="s">
        <v>181</v>
      </c>
      <c r="B280" s="32"/>
    </row>
    <row r="281" spans="1:2" x14ac:dyDescent="0.35">
      <c r="A281" s="32" t="s">
        <v>182</v>
      </c>
      <c r="B281" s="32"/>
    </row>
    <row r="282" spans="1:2" x14ac:dyDescent="0.35">
      <c r="A282" s="32" t="s">
        <v>183</v>
      </c>
      <c r="B282" s="32"/>
    </row>
    <row r="283" spans="1:2" x14ac:dyDescent="0.35">
      <c r="A283" s="32" t="s">
        <v>184</v>
      </c>
      <c r="B283" s="32"/>
    </row>
    <row r="284" spans="1:2" x14ac:dyDescent="0.35">
      <c r="A284" s="32" t="s">
        <v>185</v>
      </c>
      <c r="B284" s="32"/>
    </row>
    <row r="285" spans="1:2" x14ac:dyDescent="0.35">
      <c r="A285" s="32" t="s">
        <v>186</v>
      </c>
      <c r="B285" s="32"/>
    </row>
    <row r="286" spans="1:2" x14ac:dyDescent="0.35">
      <c r="A286" s="32" t="s">
        <v>187</v>
      </c>
      <c r="B286" s="32"/>
    </row>
    <row r="287" spans="1:2" x14ac:dyDescent="0.35">
      <c r="A287" s="32" t="s">
        <v>188</v>
      </c>
      <c r="B287" s="32"/>
    </row>
    <row r="288" spans="1:2" x14ac:dyDescent="0.35">
      <c r="A288" s="32" t="s">
        <v>189</v>
      </c>
      <c r="B288" s="32"/>
    </row>
    <row r="289" spans="1:2" x14ac:dyDescent="0.35">
      <c r="A289" s="32" t="s">
        <v>190</v>
      </c>
      <c r="B289" s="32"/>
    </row>
    <row r="290" spans="1:2" x14ac:dyDescent="0.35">
      <c r="A290" s="32" t="s">
        <v>191</v>
      </c>
      <c r="B290" s="32"/>
    </row>
    <row r="291" spans="1:2" x14ac:dyDescent="0.35">
      <c r="A291" s="32" t="s">
        <v>192</v>
      </c>
      <c r="B291" s="32"/>
    </row>
    <row r="292" spans="1:2" x14ac:dyDescent="0.35">
      <c r="A292" s="32" t="s">
        <v>193</v>
      </c>
      <c r="B292" s="32"/>
    </row>
    <row r="293" spans="1:2" x14ac:dyDescent="0.35">
      <c r="A293" s="32" t="s">
        <v>194</v>
      </c>
      <c r="B293" s="32"/>
    </row>
    <row r="294" spans="1:2" x14ac:dyDescent="0.35">
      <c r="A294" s="32" t="s">
        <v>195</v>
      </c>
      <c r="B294" s="32"/>
    </row>
    <row r="295" spans="1:2" x14ac:dyDescent="0.35">
      <c r="A295" s="32" t="s">
        <v>196</v>
      </c>
      <c r="B295" s="32"/>
    </row>
    <row r="296" spans="1:2" x14ac:dyDescent="0.35">
      <c r="A296" s="32" t="s">
        <v>197</v>
      </c>
      <c r="B296" s="32"/>
    </row>
    <row r="297" spans="1:2" x14ac:dyDescent="0.35">
      <c r="A297" s="32" t="s">
        <v>198</v>
      </c>
      <c r="B297" s="32"/>
    </row>
    <row r="298" spans="1:2" x14ac:dyDescent="0.35">
      <c r="A298" s="32" t="s">
        <v>199</v>
      </c>
      <c r="B298" s="32"/>
    </row>
    <row r="299" spans="1:2" x14ac:dyDescent="0.35">
      <c r="A299" s="32" t="s">
        <v>200</v>
      </c>
      <c r="B299" s="32"/>
    </row>
    <row r="300" spans="1:2" x14ac:dyDescent="0.35">
      <c r="A300" s="32" t="s">
        <v>201</v>
      </c>
      <c r="B300" s="32"/>
    </row>
    <row r="301" spans="1:2" x14ac:dyDescent="0.35">
      <c r="A301" s="32" t="s">
        <v>202</v>
      </c>
      <c r="B301" s="32"/>
    </row>
    <row r="302" spans="1:2" x14ac:dyDescent="0.35">
      <c r="A302" s="32" t="s">
        <v>203</v>
      </c>
      <c r="B302" s="32"/>
    </row>
    <row r="303" spans="1:2" x14ac:dyDescent="0.35">
      <c r="A303" s="32" t="s">
        <v>204</v>
      </c>
      <c r="B303" s="32"/>
    </row>
    <row r="304" spans="1:2" x14ac:dyDescent="0.35">
      <c r="A304" s="32" t="s">
        <v>205</v>
      </c>
      <c r="B304" s="32"/>
    </row>
    <row r="305" spans="1:2" x14ac:dyDescent="0.35">
      <c r="A305" s="32" t="s">
        <v>206</v>
      </c>
      <c r="B305" s="32"/>
    </row>
    <row r="306" spans="1:2" x14ac:dyDescent="0.35">
      <c r="A306" s="32" t="s">
        <v>207</v>
      </c>
      <c r="B306" s="32"/>
    </row>
    <row r="307" spans="1:2" x14ac:dyDescent="0.35">
      <c r="A307" s="32" t="s">
        <v>208</v>
      </c>
      <c r="B307" s="32"/>
    </row>
    <row r="308" spans="1:2" x14ac:dyDescent="0.35">
      <c r="A308" s="32" t="s">
        <v>209</v>
      </c>
      <c r="B308" s="32"/>
    </row>
    <row r="309" spans="1:2" x14ac:dyDescent="0.35">
      <c r="A309" s="32" t="s">
        <v>210</v>
      </c>
      <c r="B309" s="32"/>
    </row>
    <row r="310" spans="1:2" x14ac:dyDescent="0.35">
      <c r="A310" s="32" t="s">
        <v>211</v>
      </c>
      <c r="B310" s="32"/>
    </row>
    <row r="311" spans="1:2" x14ac:dyDescent="0.35">
      <c r="A311" s="32" t="s">
        <v>212</v>
      </c>
      <c r="B311" s="32"/>
    </row>
    <row r="312" spans="1:2" x14ac:dyDescent="0.35">
      <c r="A312" s="32" t="s">
        <v>213</v>
      </c>
      <c r="B312" s="32"/>
    </row>
    <row r="313" spans="1:2" x14ac:dyDescent="0.35">
      <c r="A313" s="32" t="s">
        <v>214</v>
      </c>
      <c r="B313" s="32"/>
    </row>
    <row r="314" spans="1:2" x14ac:dyDescent="0.35">
      <c r="A314" s="32" t="s">
        <v>215</v>
      </c>
      <c r="B314" s="32"/>
    </row>
    <row r="315" spans="1:2" x14ac:dyDescent="0.35">
      <c r="A315" s="32" t="s">
        <v>216</v>
      </c>
      <c r="B315" s="32"/>
    </row>
    <row r="316" spans="1:2" x14ac:dyDescent="0.35">
      <c r="A316" s="32" t="s">
        <v>217</v>
      </c>
      <c r="B316" s="32"/>
    </row>
    <row r="317" spans="1:2" x14ac:dyDescent="0.35">
      <c r="A317" s="32" t="s">
        <v>218</v>
      </c>
      <c r="B317" s="32"/>
    </row>
    <row r="318" spans="1:2" x14ac:dyDescent="0.35">
      <c r="A318" s="32" t="s">
        <v>219</v>
      </c>
      <c r="B318" s="32"/>
    </row>
    <row r="319" spans="1:2" x14ac:dyDescent="0.35">
      <c r="A319" s="32" t="s">
        <v>220</v>
      </c>
      <c r="B319" s="32"/>
    </row>
    <row r="320" spans="1:2" x14ac:dyDescent="0.35">
      <c r="A320" s="32" t="s">
        <v>221</v>
      </c>
      <c r="B320" s="32"/>
    </row>
    <row r="321" spans="1:2" x14ac:dyDescent="0.35">
      <c r="A321" s="32" t="s">
        <v>222</v>
      </c>
      <c r="B321" s="32"/>
    </row>
    <row r="322" spans="1:2" x14ac:dyDescent="0.35">
      <c r="A322" s="32" t="s">
        <v>223</v>
      </c>
      <c r="B322" s="32"/>
    </row>
    <row r="323" spans="1:2" x14ac:dyDescent="0.35">
      <c r="A323" s="32" t="s">
        <v>224</v>
      </c>
      <c r="B323" s="32"/>
    </row>
    <row r="324" spans="1:2" x14ac:dyDescent="0.35">
      <c r="A324" s="32" t="s">
        <v>225</v>
      </c>
      <c r="B324" s="32"/>
    </row>
    <row r="325" spans="1:2" x14ac:dyDescent="0.35">
      <c r="A325" s="32" t="s">
        <v>226</v>
      </c>
      <c r="B325" s="32"/>
    </row>
    <row r="326" spans="1:2" x14ac:dyDescent="0.35">
      <c r="A326" s="32" t="s">
        <v>227</v>
      </c>
      <c r="B326" s="32"/>
    </row>
    <row r="327" spans="1:2" x14ac:dyDescent="0.35">
      <c r="A327" s="32" t="s">
        <v>228</v>
      </c>
      <c r="B327" s="32"/>
    </row>
    <row r="328" spans="1:2" x14ac:dyDescent="0.35">
      <c r="A328" s="32" t="s">
        <v>229</v>
      </c>
      <c r="B328" s="32"/>
    </row>
    <row r="329" spans="1:2" x14ac:dyDescent="0.35">
      <c r="A329" s="32" t="s">
        <v>230</v>
      </c>
      <c r="B329" s="32"/>
    </row>
    <row r="330" spans="1:2" x14ac:dyDescent="0.35">
      <c r="A330" s="32" t="s">
        <v>231</v>
      </c>
      <c r="B330" s="32"/>
    </row>
    <row r="331" spans="1:2" x14ac:dyDescent="0.35">
      <c r="A331" s="32" t="s">
        <v>232</v>
      </c>
      <c r="B331" s="32"/>
    </row>
    <row r="332" spans="1:2" x14ac:dyDescent="0.35">
      <c r="A332" s="32" t="s">
        <v>233</v>
      </c>
      <c r="B332" s="32"/>
    </row>
    <row r="333" spans="1:2" x14ac:dyDescent="0.35">
      <c r="A333" s="32" t="s">
        <v>234</v>
      </c>
      <c r="B333" s="32"/>
    </row>
    <row r="334" spans="1:2" x14ac:dyDescent="0.35">
      <c r="A334" s="32" t="s">
        <v>235</v>
      </c>
      <c r="B334" s="32"/>
    </row>
    <row r="335" spans="1:2" x14ac:dyDescent="0.35">
      <c r="A335" s="32" t="s">
        <v>236</v>
      </c>
      <c r="B335" s="32"/>
    </row>
    <row r="336" spans="1:2" x14ac:dyDescent="0.35">
      <c r="A336" s="32" t="s">
        <v>237</v>
      </c>
      <c r="B336" s="32"/>
    </row>
    <row r="337" spans="1:2" x14ac:dyDescent="0.35">
      <c r="A337" s="32" t="s">
        <v>238</v>
      </c>
      <c r="B337" s="32"/>
    </row>
    <row r="338" spans="1:2" x14ac:dyDescent="0.35">
      <c r="A338" s="32" t="s">
        <v>239</v>
      </c>
      <c r="B338" s="32"/>
    </row>
    <row r="339" spans="1:2" x14ac:dyDescent="0.35">
      <c r="A339" s="32" t="s">
        <v>240</v>
      </c>
      <c r="B339" s="32"/>
    </row>
    <row r="340" spans="1:2" x14ac:dyDescent="0.35">
      <c r="A340" s="32" t="s">
        <v>241</v>
      </c>
      <c r="B340" s="32"/>
    </row>
    <row r="341" spans="1:2" x14ac:dyDescent="0.35">
      <c r="A341" s="32" t="s">
        <v>242</v>
      </c>
      <c r="B341" s="32"/>
    </row>
    <row r="342" spans="1:2" x14ac:dyDescent="0.35">
      <c r="A342" s="32" t="s">
        <v>243</v>
      </c>
      <c r="B342" s="32"/>
    </row>
    <row r="343" spans="1:2" x14ac:dyDescent="0.35">
      <c r="A343" s="32" t="s">
        <v>244</v>
      </c>
      <c r="B343" s="32"/>
    </row>
    <row r="344" spans="1:2" x14ac:dyDescent="0.35">
      <c r="A344" s="32" t="s">
        <v>245</v>
      </c>
      <c r="B344" s="32"/>
    </row>
    <row r="345" spans="1:2" x14ac:dyDescent="0.35">
      <c r="A345" s="32" t="s">
        <v>246</v>
      </c>
      <c r="B345" s="32"/>
    </row>
    <row r="346" spans="1:2" x14ac:dyDescent="0.35">
      <c r="A346" s="32" t="s">
        <v>247</v>
      </c>
      <c r="B346" s="32"/>
    </row>
    <row r="347" spans="1:2" x14ac:dyDescent="0.35">
      <c r="A347" s="32" t="s">
        <v>248</v>
      </c>
      <c r="B347" s="32"/>
    </row>
    <row r="348" spans="1:2" x14ac:dyDescent="0.35">
      <c r="A348" s="32" t="s">
        <v>249</v>
      </c>
      <c r="B348" s="32"/>
    </row>
    <row r="349" spans="1:2" x14ac:dyDescent="0.35">
      <c r="A349" s="32" t="s">
        <v>250</v>
      </c>
      <c r="B349" s="32"/>
    </row>
    <row r="350" spans="1:2" x14ac:dyDescent="0.35">
      <c r="A350" s="32" t="s">
        <v>251</v>
      </c>
      <c r="B350" s="32"/>
    </row>
    <row r="351" spans="1:2" x14ac:dyDescent="0.35">
      <c r="A351" s="32" t="s">
        <v>252</v>
      </c>
      <c r="B351" s="32"/>
    </row>
    <row r="352" spans="1:2" x14ac:dyDescent="0.35">
      <c r="A352" s="32" t="s">
        <v>253</v>
      </c>
      <c r="B352" s="32"/>
    </row>
    <row r="353" spans="1:2" x14ac:dyDescent="0.35">
      <c r="A353" s="32" t="s">
        <v>254</v>
      </c>
      <c r="B353" s="32"/>
    </row>
    <row r="354" spans="1:2" x14ac:dyDescent="0.35">
      <c r="A354" s="32" t="s">
        <v>255</v>
      </c>
      <c r="B354" s="32"/>
    </row>
    <row r="355" spans="1:2" x14ac:dyDescent="0.35">
      <c r="A355" s="32" t="s">
        <v>256</v>
      </c>
      <c r="B355" s="32"/>
    </row>
    <row r="356" spans="1:2" x14ac:dyDescent="0.35">
      <c r="A356" s="32" t="s">
        <v>257</v>
      </c>
      <c r="B356" s="32"/>
    </row>
    <row r="357" spans="1:2" x14ac:dyDescent="0.35">
      <c r="A357" s="32" t="s">
        <v>258</v>
      </c>
      <c r="B357" s="32"/>
    </row>
    <row r="358" spans="1:2" x14ac:dyDescent="0.35">
      <c r="A358" s="32" t="s">
        <v>259</v>
      </c>
      <c r="B358" s="32"/>
    </row>
    <row r="359" spans="1:2" x14ac:dyDescent="0.35">
      <c r="A359" s="32" t="s">
        <v>260</v>
      </c>
      <c r="B359" s="32"/>
    </row>
    <row r="360" spans="1:2" x14ac:dyDescent="0.35">
      <c r="A360" s="32" t="s">
        <v>261</v>
      </c>
      <c r="B360" s="32"/>
    </row>
    <row r="361" spans="1:2" x14ac:dyDescent="0.35">
      <c r="A361" s="32" t="s">
        <v>262</v>
      </c>
      <c r="B361" s="32"/>
    </row>
    <row r="362" spans="1:2" x14ac:dyDescent="0.35">
      <c r="A362" s="32" t="s">
        <v>263</v>
      </c>
      <c r="B362" s="32"/>
    </row>
    <row r="363" spans="1:2" x14ac:dyDescent="0.35">
      <c r="A363" s="32" t="s">
        <v>264</v>
      </c>
      <c r="B363" s="32"/>
    </row>
    <row r="364" spans="1:2" x14ac:dyDescent="0.35">
      <c r="A364" s="32" t="s">
        <v>265</v>
      </c>
      <c r="B364" s="32"/>
    </row>
    <row r="365" spans="1:2" x14ac:dyDescent="0.35">
      <c r="A365" s="32" t="s">
        <v>266</v>
      </c>
      <c r="B365" s="32"/>
    </row>
    <row r="366" spans="1:2" x14ac:dyDescent="0.35">
      <c r="A366" s="32" t="s">
        <v>267</v>
      </c>
      <c r="B366" s="32"/>
    </row>
    <row r="367" spans="1:2" x14ac:dyDescent="0.35">
      <c r="A367" s="32" t="s">
        <v>268</v>
      </c>
      <c r="B367" s="32"/>
    </row>
    <row r="368" spans="1:2" x14ac:dyDescent="0.35">
      <c r="A368" s="32" t="s">
        <v>269</v>
      </c>
      <c r="B368" s="32"/>
    </row>
    <row r="369" spans="1:2" x14ac:dyDescent="0.35">
      <c r="A369" s="32" t="s">
        <v>270</v>
      </c>
      <c r="B369" s="32"/>
    </row>
    <row r="370" spans="1:2" x14ac:dyDescent="0.35">
      <c r="A370" s="32" t="s">
        <v>271</v>
      </c>
      <c r="B370" s="32"/>
    </row>
    <row r="371" spans="1:2" x14ac:dyDescent="0.35">
      <c r="A371" s="32" t="s">
        <v>272</v>
      </c>
      <c r="B371" s="32"/>
    </row>
    <row r="372" spans="1:2" x14ac:dyDescent="0.35">
      <c r="A372" s="32" t="s">
        <v>273</v>
      </c>
      <c r="B372" s="32"/>
    </row>
    <row r="373" spans="1:2" x14ac:dyDescent="0.35">
      <c r="A373" s="32" t="s">
        <v>274</v>
      </c>
      <c r="B373" s="32"/>
    </row>
    <row r="374" spans="1:2" x14ac:dyDescent="0.35">
      <c r="A374" s="32" t="s">
        <v>275</v>
      </c>
      <c r="B374" s="32"/>
    </row>
    <row r="375" spans="1:2" x14ac:dyDescent="0.35">
      <c r="A375" s="32" t="s">
        <v>276</v>
      </c>
      <c r="B375" s="32"/>
    </row>
    <row r="376" spans="1:2" x14ac:dyDescent="0.35">
      <c r="A376" s="32" t="s">
        <v>277</v>
      </c>
      <c r="B376" s="32"/>
    </row>
    <row r="377" spans="1:2" x14ac:dyDescent="0.35">
      <c r="A377" s="32" t="s">
        <v>278</v>
      </c>
      <c r="B377" s="32"/>
    </row>
    <row r="378" spans="1:2" x14ac:dyDescent="0.35">
      <c r="A378" s="32" t="s">
        <v>279</v>
      </c>
      <c r="B378" s="32"/>
    </row>
    <row r="379" spans="1:2" x14ac:dyDescent="0.35">
      <c r="A379" s="32" t="s">
        <v>280</v>
      </c>
      <c r="B379" s="32"/>
    </row>
    <row r="380" spans="1:2" x14ac:dyDescent="0.35">
      <c r="A380" s="32" t="s">
        <v>281</v>
      </c>
      <c r="B380" s="32"/>
    </row>
    <row r="381" spans="1:2" x14ac:dyDescent="0.35">
      <c r="A381" s="32" t="s">
        <v>282</v>
      </c>
      <c r="B381" s="32"/>
    </row>
    <row r="382" spans="1:2" x14ac:dyDescent="0.35">
      <c r="A382" s="32" t="s">
        <v>283</v>
      </c>
      <c r="B382" s="32"/>
    </row>
    <row r="383" spans="1:2" x14ac:dyDescent="0.35">
      <c r="A383" s="32" t="s">
        <v>284</v>
      </c>
      <c r="B383" s="32"/>
    </row>
    <row r="384" spans="1:2" x14ac:dyDescent="0.35">
      <c r="A384" s="32" t="s">
        <v>285</v>
      </c>
      <c r="B384" s="32"/>
    </row>
    <row r="385" spans="1:2" x14ac:dyDescent="0.35">
      <c r="A385" s="32" t="s">
        <v>286</v>
      </c>
      <c r="B385" s="32"/>
    </row>
    <row r="386" spans="1:2" x14ac:dyDescent="0.35">
      <c r="A386" s="32" t="s">
        <v>287</v>
      </c>
      <c r="B386" s="32"/>
    </row>
    <row r="387" spans="1:2" x14ac:dyDescent="0.35">
      <c r="A387" s="32" t="s">
        <v>288</v>
      </c>
      <c r="B387" s="32"/>
    </row>
    <row r="388" spans="1:2" x14ac:dyDescent="0.35">
      <c r="A388" s="32" t="s">
        <v>289</v>
      </c>
      <c r="B388" s="32"/>
    </row>
    <row r="389" spans="1:2" x14ac:dyDescent="0.35">
      <c r="A389" s="32" t="s">
        <v>290</v>
      </c>
      <c r="B389" s="32"/>
    </row>
    <row r="390" spans="1:2" x14ac:dyDescent="0.35">
      <c r="A390" s="32" t="s">
        <v>291</v>
      </c>
      <c r="B390" s="32"/>
    </row>
    <row r="391" spans="1:2" x14ac:dyDescent="0.35">
      <c r="A391" s="32" t="s">
        <v>292</v>
      </c>
      <c r="B391" s="32"/>
    </row>
    <row r="392" spans="1:2" x14ac:dyDescent="0.35">
      <c r="A392" s="32" t="s">
        <v>293</v>
      </c>
      <c r="B392" s="32"/>
    </row>
    <row r="393" spans="1:2" x14ac:dyDescent="0.35">
      <c r="A393" s="32" t="s">
        <v>294</v>
      </c>
      <c r="B393" s="32"/>
    </row>
    <row r="394" spans="1:2" x14ac:dyDescent="0.35">
      <c r="A394" s="32" t="s">
        <v>295</v>
      </c>
      <c r="B394" s="32"/>
    </row>
    <row r="395" spans="1:2" x14ac:dyDescent="0.35">
      <c r="A395" s="32" t="s">
        <v>296</v>
      </c>
      <c r="B395" s="32"/>
    </row>
    <row r="396" spans="1:2" x14ac:dyDescent="0.35">
      <c r="A396" s="32" t="s">
        <v>297</v>
      </c>
      <c r="B396" s="32"/>
    </row>
    <row r="397" spans="1:2" x14ac:dyDescent="0.35">
      <c r="A397" s="32" t="s">
        <v>298</v>
      </c>
      <c r="B397" s="32"/>
    </row>
    <row r="398" spans="1:2" x14ac:dyDescent="0.35">
      <c r="A398" s="32" t="s">
        <v>299</v>
      </c>
      <c r="B398" s="32"/>
    </row>
    <row r="399" spans="1:2" x14ac:dyDescent="0.35">
      <c r="A399" s="32" t="s">
        <v>300</v>
      </c>
      <c r="B399" s="32"/>
    </row>
    <row r="400" spans="1:2" x14ac:dyDescent="0.35">
      <c r="A400" s="32" t="s">
        <v>301</v>
      </c>
      <c r="B400" s="32"/>
    </row>
    <row r="401" spans="1:2" x14ac:dyDescent="0.35">
      <c r="A401" s="32" t="s">
        <v>302</v>
      </c>
      <c r="B401" s="32"/>
    </row>
    <row r="402" spans="1:2" x14ac:dyDescent="0.35">
      <c r="A402" s="32" t="s">
        <v>303</v>
      </c>
      <c r="B402" s="32"/>
    </row>
    <row r="403" spans="1:2" x14ac:dyDescent="0.35">
      <c r="A403" s="32" t="s">
        <v>304</v>
      </c>
      <c r="B403" s="32"/>
    </row>
    <row r="404" spans="1:2" x14ac:dyDescent="0.35">
      <c r="A404" s="32" t="s">
        <v>305</v>
      </c>
      <c r="B404" s="32"/>
    </row>
    <row r="405" spans="1:2" x14ac:dyDescent="0.35">
      <c r="A405" s="32" t="s">
        <v>306</v>
      </c>
      <c r="B405" s="32"/>
    </row>
    <row r="406" spans="1:2" x14ac:dyDescent="0.35">
      <c r="A406" s="32" t="s">
        <v>307</v>
      </c>
      <c r="B406" s="32"/>
    </row>
    <row r="407" spans="1:2" x14ac:dyDescent="0.35">
      <c r="A407" s="32" t="s">
        <v>308</v>
      </c>
      <c r="B407" s="32"/>
    </row>
    <row r="408" spans="1:2" x14ac:dyDescent="0.35">
      <c r="A408" s="32" t="s">
        <v>309</v>
      </c>
      <c r="B408" s="32"/>
    </row>
    <row r="409" spans="1:2" x14ac:dyDescent="0.35">
      <c r="A409" s="32" t="s">
        <v>310</v>
      </c>
      <c r="B409" s="32"/>
    </row>
    <row r="410" spans="1:2" x14ac:dyDescent="0.35">
      <c r="A410" s="32" t="s">
        <v>311</v>
      </c>
      <c r="B410" s="32"/>
    </row>
    <row r="411" spans="1:2" x14ac:dyDescent="0.35">
      <c r="A411" s="32" t="s">
        <v>312</v>
      </c>
      <c r="B411" s="32"/>
    </row>
    <row r="412" spans="1:2" x14ac:dyDescent="0.35">
      <c r="A412" s="32" t="s">
        <v>313</v>
      </c>
      <c r="B412" s="32"/>
    </row>
    <row r="413" spans="1:2" x14ac:dyDescent="0.35">
      <c r="A413" s="32" t="s">
        <v>314</v>
      </c>
      <c r="B413" s="32"/>
    </row>
    <row r="414" spans="1:2" x14ac:dyDescent="0.35">
      <c r="A414" s="32" t="s">
        <v>315</v>
      </c>
      <c r="B414" s="32"/>
    </row>
    <row r="415" spans="1:2" x14ac:dyDescent="0.35">
      <c r="A415" s="32" t="s">
        <v>316</v>
      </c>
      <c r="B415" s="32"/>
    </row>
    <row r="416" spans="1:2" x14ac:dyDescent="0.35">
      <c r="A416" s="32" t="s">
        <v>317</v>
      </c>
      <c r="B416" s="32"/>
    </row>
    <row r="417" spans="1:2" x14ac:dyDescent="0.35">
      <c r="A417" s="32" t="s">
        <v>318</v>
      </c>
      <c r="B417" s="32"/>
    </row>
    <row r="418" spans="1:2" x14ac:dyDescent="0.35">
      <c r="A418" s="32" t="s">
        <v>319</v>
      </c>
      <c r="B418" s="32"/>
    </row>
    <row r="419" spans="1:2" x14ac:dyDescent="0.35">
      <c r="A419" s="32" t="s">
        <v>320</v>
      </c>
      <c r="B419" s="32"/>
    </row>
    <row r="420" spans="1:2" x14ac:dyDescent="0.35">
      <c r="A420" s="32" t="s">
        <v>321</v>
      </c>
      <c r="B420" s="32"/>
    </row>
    <row r="421" spans="1:2" x14ac:dyDescent="0.35">
      <c r="A421" s="32" t="s">
        <v>322</v>
      </c>
      <c r="B421" s="32"/>
    </row>
    <row r="422" spans="1:2" x14ac:dyDescent="0.35">
      <c r="A422" s="32" t="s">
        <v>323</v>
      </c>
      <c r="B422" s="32"/>
    </row>
    <row r="423" spans="1:2" x14ac:dyDescent="0.35">
      <c r="A423" s="32" t="s">
        <v>324</v>
      </c>
      <c r="B423" s="32"/>
    </row>
    <row r="424" spans="1:2" x14ac:dyDescent="0.35">
      <c r="A424" s="32" t="s">
        <v>325</v>
      </c>
      <c r="B424" s="32"/>
    </row>
    <row r="425" spans="1:2" x14ac:dyDescent="0.35">
      <c r="A425" s="32" t="s">
        <v>326</v>
      </c>
      <c r="B425" s="32"/>
    </row>
    <row r="426" spans="1:2" x14ac:dyDescent="0.35">
      <c r="A426" s="32" t="s">
        <v>327</v>
      </c>
      <c r="B426" s="32"/>
    </row>
    <row r="427" spans="1:2" x14ac:dyDescent="0.35">
      <c r="A427" s="32" t="s">
        <v>328</v>
      </c>
      <c r="B427" s="32"/>
    </row>
    <row r="428" spans="1:2" x14ac:dyDescent="0.35">
      <c r="A428" s="32" t="s">
        <v>329</v>
      </c>
      <c r="B428" s="32"/>
    </row>
    <row r="429" spans="1:2" x14ac:dyDescent="0.35">
      <c r="A429" s="32" t="s">
        <v>330</v>
      </c>
      <c r="B429" s="32"/>
    </row>
    <row r="430" spans="1:2" x14ac:dyDescent="0.35">
      <c r="A430" s="32" t="s">
        <v>331</v>
      </c>
      <c r="B430" s="32"/>
    </row>
    <row r="431" spans="1:2" x14ac:dyDescent="0.35">
      <c r="A431" s="32" t="s">
        <v>332</v>
      </c>
      <c r="B431" s="32"/>
    </row>
    <row r="432" spans="1:2" x14ac:dyDescent="0.35">
      <c r="A432" s="32" t="s">
        <v>333</v>
      </c>
      <c r="B432" s="32"/>
    </row>
    <row r="433" spans="1:2" x14ac:dyDescent="0.35">
      <c r="A433" s="32" t="s">
        <v>334</v>
      </c>
      <c r="B433" s="32"/>
    </row>
    <row r="434" spans="1:2" x14ac:dyDescent="0.35">
      <c r="A434" s="32" t="s">
        <v>335</v>
      </c>
      <c r="B434" s="32"/>
    </row>
    <row r="435" spans="1:2" x14ac:dyDescent="0.35">
      <c r="A435" s="32" t="s">
        <v>336</v>
      </c>
      <c r="B435" s="32"/>
    </row>
    <row r="436" spans="1:2" x14ac:dyDescent="0.35">
      <c r="A436" s="32" t="s">
        <v>337</v>
      </c>
      <c r="B436" s="32"/>
    </row>
    <row r="437" spans="1:2" x14ac:dyDescent="0.35">
      <c r="A437" s="32" t="s">
        <v>338</v>
      </c>
      <c r="B437" s="32"/>
    </row>
    <row r="438" spans="1:2" x14ac:dyDescent="0.35">
      <c r="A438" s="32" t="s">
        <v>339</v>
      </c>
      <c r="B438" s="32"/>
    </row>
    <row r="439" spans="1:2" x14ac:dyDescent="0.35">
      <c r="A439" s="32" t="s">
        <v>340</v>
      </c>
      <c r="B439" s="32"/>
    </row>
    <row r="440" spans="1:2" x14ac:dyDescent="0.35">
      <c r="A440" s="32" t="s">
        <v>341</v>
      </c>
      <c r="B440" s="32"/>
    </row>
    <row r="441" spans="1:2" x14ac:dyDescent="0.35">
      <c r="A441" s="32" t="s">
        <v>342</v>
      </c>
      <c r="B441" s="32"/>
    </row>
    <row r="442" spans="1:2" x14ac:dyDescent="0.35">
      <c r="A442" s="32" t="s">
        <v>343</v>
      </c>
      <c r="B442" s="32"/>
    </row>
    <row r="443" spans="1:2" x14ac:dyDescent="0.35">
      <c r="A443" s="32" t="s">
        <v>344</v>
      </c>
      <c r="B443" s="32"/>
    </row>
    <row r="444" spans="1:2" x14ac:dyDescent="0.35">
      <c r="A444" s="32" t="s">
        <v>345</v>
      </c>
      <c r="B444" s="32"/>
    </row>
    <row r="445" spans="1:2" x14ac:dyDescent="0.35">
      <c r="A445" s="32" t="s">
        <v>346</v>
      </c>
      <c r="B445" s="32"/>
    </row>
    <row r="446" spans="1:2" x14ac:dyDescent="0.35">
      <c r="A446" s="32" t="s">
        <v>347</v>
      </c>
      <c r="B446" s="32"/>
    </row>
    <row r="447" spans="1:2" x14ac:dyDescent="0.35">
      <c r="A447" s="32" t="s">
        <v>348</v>
      </c>
      <c r="B447" s="32"/>
    </row>
    <row r="448" spans="1:2" x14ac:dyDescent="0.35">
      <c r="A448" s="32" t="s">
        <v>349</v>
      </c>
      <c r="B448" s="32"/>
    </row>
    <row r="449" spans="1:2" x14ac:dyDescent="0.35">
      <c r="A449" s="32" t="s">
        <v>350</v>
      </c>
      <c r="B449" s="32"/>
    </row>
    <row r="450" spans="1:2" x14ac:dyDescent="0.35">
      <c r="A450" s="32" t="s">
        <v>351</v>
      </c>
      <c r="B450" s="32"/>
    </row>
    <row r="451" spans="1:2" x14ac:dyDescent="0.35">
      <c r="A451" s="32" t="s">
        <v>352</v>
      </c>
      <c r="B451" s="32"/>
    </row>
    <row r="452" spans="1:2" x14ac:dyDescent="0.35">
      <c r="A452" s="32" t="s">
        <v>353</v>
      </c>
      <c r="B452" s="32"/>
    </row>
    <row r="453" spans="1:2" x14ac:dyDescent="0.35">
      <c r="A453" s="32" t="s">
        <v>354</v>
      </c>
      <c r="B453" s="32"/>
    </row>
    <row r="454" spans="1:2" x14ac:dyDescent="0.35">
      <c r="A454" s="32" t="s">
        <v>355</v>
      </c>
      <c r="B454" s="32"/>
    </row>
    <row r="455" spans="1:2" x14ac:dyDescent="0.35">
      <c r="A455" s="32" t="s">
        <v>356</v>
      </c>
      <c r="B455" s="32"/>
    </row>
    <row r="456" spans="1:2" x14ac:dyDescent="0.35">
      <c r="A456" s="32" t="s">
        <v>357</v>
      </c>
      <c r="B456" s="32"/>
    </row>
    <row r="457" spans="1:2" x14ac:dyDescent="0.35">
      <c r="A457" s="32" t="s">
        <v>358</v>
      </c>
      <c r="B457" s="32"/>
    </row>
    <row r="458" spans="1:2" x14ac:dyDescent="0.35">
      <c r="A458" s="32" t="s">
        <v>359</v>
      </c>
      <c r="B458" s="32"/>
    </row>
    <row r="459" spans="1:2" x14ac:dyDescent="0.35">
      <c r="A459" s="32" t="s">
        <v>360</v>
      </c>
      <c r="B459" s="32"/>
    </row>
    <row r="460" spans="1:2" x14ac:dyDescent="0.35">
      <c r="A460" s="32" t="s">
        <v>361</v>
      </c>
      <c r="B460" s="32"/>
    </row>
    <row r="461" spans="1:2" x14ac:dyDescent="0.35">
      <c r="A461" s="32" t="s">
        <v>362</v>
      </c>
      <c r="B461" s="32"/>
    </row>
    <row r="462" spans="1:2" x14ac:dyDescent="0.35">
      <c r="A462" s="32" t="s">
        <v>363</v>
      </c>
      <c r="B462" s="32"/>
    </row>
    <row r="463" spans="1:2" x14ac:dyDescent="0.35">
      <c r="A463" s="32" t="s">
        <v>364</v>
      </c>
      <c r="B463" s="32"/>
    </row>
    <row r="464" spans="1:2" x14ac:dyDescent="0.35">
      <c r="A464" s="32" t="s">
        <v>365</v>
      </c>
      <c r="B464" s="32"/>
    </row>
    <row r="465" spans="1:2" x14ac:dyDescent="0.35">
      <c r="A465" s="32" t="s">
        <v>366</v>
      </c>
      <c r="B465" s="32"/>
    </row>
    <row r="466" spans="1:2" x14ac:dyDescent="0.35">
      <c r="A466" s="32" t="s">
        <v>367</v>
      </c>
      <c r="B466" s="32"/>
    </row>
    <row r="467" spans="1:2" x14ac:dyDescent="0.35">
      <c r="A467" s="32" t="s">
        <v>368</v>
      </c>
      <c r="B467" s="32"/>
    </row>
    <row r="468" spans="1:2" x14ac:dyDescent="0.35">
      <c r="A468" s="32" t="s">
        <v>369</v>
      </c>
      <c r="B468" s="32"/>
    </row>
    <row r="469" spans="1:2" x14ac:dyDescent="0.35">
      <c r="A469" s="32" t="s">
        <v>370</v>
      </c>
      <c r="B469" s="32"/>
    </row>
    <row r="470" spans="1:2" x14ac:dyDescent="0.35">
      <c r="A470" s="32" t="s">
        <v>371</v>
      </c>
      <c r="B470" s="32"/>
    </row>
    <row r="471" spans="1:2" x14ac:dyDescent="0.35">
      <c r="A471" s="32" t="s">
        <v>372</v>
      </c>
      <c r="B471" s="32"/>
    </row>
    <row r="472" spans="1:2" x14ac:dyDescent="0.35">
      <c r="A472" s="32" t="s">
        <v>373</v>
      </c>
      <c r="B472" s="32"/>
    </row>
    <row r="473" spans="1:2" x14ac:dyDescent="0.35">
      <c r="A473" s="32" t="s">
        <v>374</v>
      </c>
      <c r="B473" s="32"/>
    </row>
    <row r="474" spans="1:2" x14ac:dyDescent="0.35">
      <c r="A474" s="32" t="s">
        <v>375</v>
      </c>
      <c r="B474" s="32"/>
    </row>
    <row r="475" spans="1:2" x14ac:dyDescent="0.35">
      <c r="A475" s="32" t="s">
        <v>376</v>
      </c>
      <c r="B475" s="32"/>
    </row>
    <row r="476" spans="1:2" x14ac:dyDescent="0.35">
      <c r="A476" s="32" t="s">
        <v>377</v>
      </c>
      <c r="B476" s="32"/>
    </row>
    <row r="477" spans="1:2" x14ac:dyDescent="0.35">
      <c r="A477" s="32" t="s">
        <v>378</v>
      </c>
      <c r="B477" s="32"/>
    </row>
    <row r="478" spans="1:2" x14ac:dyDescent="0.35">
      <c r="A478" s="32" t="s">
        <v>379</v>
      </c>
      <c r="B478" s="32"/>
    </row>
    <row r="479" spans="1:2" x14ac:dyDescent="0.35">
      <c r="A479" s="32" t="s">
        <v>380</v>
      </c>
      <c r="B479" s="32"/>
    </row>
    <row r="480" spans="1:2" x14ac:dyDescent="0.35">
      <c r="A480" s="32" t="s">
        <v>381</v>
      </c>
      <c r="B480" s="32"/>
    </row>
    <row r="481" spans="1:2" x14ac:dyDescent="0.35">
      <c r="A481" s="32" t="s">
        <v>382</v>
      </c>
      <c r="B481" s="32"/>
    </row>
    <row r="482" spans="1:2" x14ac:dyDescent="0.35">
      <c r="A482" s="32" t="s">
        <v>383</v>
      </c>
      <c r="B482" s="32"/>
    </row>
    <row r="483" spans="1:2" x14ac:dyDescent="0.35">
      <c r="A483" s="32" t="s">
        <v>384</v>
      </c>
      <c r="B483" s="32"/>
    </row>
    <row r="484" spans="1:2" x14ac:dyDescent="0.35">
      <c r="A484" s="32" t="s">
        <v>385</v>
      </c>
      <c r="B484" s="32"/>
    </row>
    <row r="485" spans="1:2" x14ac:dyDescent="0.35">
      <c r="A485" s="32" t="s">
        <v>386</v>
      </c>
      <c r="B485" s="32"/>
    </row>
    <row r="486" spans="1:2" x14ac:dyDescent="0.35">
      <c r="A486" s="32" t="s">
        <v>387</v>
      </c>
      <c r="B486" s="32"/>
    </row>
    <row r="487" spans="1:2" x14ac:dyDescent="0.35">
      <c r="A487" s="32" t="s">
        <v>388</v>
      </c>
      <c r="B487" s="32"/>
    </row>
    <row r="488" spans="1:2" x14ac:dyDescent="0.35">
      <c r="A488" s="32" t="s">
        <v>389</v>
      </c>
      <c r="B488" s="32"/>
    </row>
    <row r="489" spans="1:2" x14ac:dyDescent="0.35">
      <c r="A489" s="32" t="s">
        <v>390</v>
      </c>
      <c r="B489" s="32"/>
    </row>
    <row r="490" spans="1:2" x14ac:dyDescent="0.35">
      <c r="A490" s="32" t="s">
        <v>391</v>
      </c>
      <c r="B490" s="32"/>
    </row>
    <row r="491" spans="1:2" x14ac:dyDescent="0.35">
      <c r="A491" s="32" t="s">
        <v>392</v>
      </c>
      <c r="B491" s="32"/>
    </row>
    <row r="492" spans="1:2" x14ac:dyDescent="0.35">
      <c r="A492" s="32" t="s">
        <v>393</v>
      </c>
      <c r="B492" s="32"/>
    </row>
    <row r="493" spans="1:2" x14ac:dyDescent="0.35">
      <c r="A493" s="32" t="s">
        <v>394</v>
      </c>
      <c r="B493" s="32"/>
    </row>
    <row r="494" spans="1:2" x14ac:dyDescent="0.35">
      <c r="A494" s="32" t="s">
        <v>395</v>
      </c>
      <c r="B494" s="32"/>
    </row>
    <row r="495" spans="1:2" x14ac:dyDescent="0.35">
      <c r="A495" s="32" t="s">
        <v>396</v>
      </c>
      <c r="B495" s="32"/>
    </row>
    <row r="496" spans="1:2" x14ac:dyDescent="0.35">
      <c r="A496" s="32" t="s">
        <v>397</v>
      </c>
      <c r="B496" s="32"/>
    </row>
    <row r="497" spans="1:2" x14ac:dyDescent="0.35">
      <c r="A497" s="32" t="s">
        <v>398</v>
      </c>
      <c r="B497" s="32"/>
    </row>
    <row r="498" spans="1:2" x14ac:dyDescent="0.35">
      <c r="A498" s="32" t="s">
        <v>399</v>
      </c>
      <c r="B498" s="32"/>
    </row>
    <row r="499" spans="1:2" x14ac:dyDescent="0.35">
      <c r="A499" s="32" t="s">
        <v>400</v>
      </c>
      <c r="B499" s="32"/>
    </row>
    <row r="500" spans="1:2" x14ac:dyDescent="0.35">
      <c r="A500" s="32" t="s">
        <v>401</v>
      </c>
      <c r="B500" s="32"/>
    </row>
    <row r="501" spans="1:2" x14ac:dyDescent="0.35">
      <c r="A501" s="32" t="s">
        <v>402</v>
      </c>
      <c r="B501" s="32"/>
    </row>
    <row r="502" spans="1:2" x14ac:dyDescent="0.35">
      <c r="A502" s="32" t="s">
        <v>403</v>
      </c>
      <c r="B502" s="32"/>
    </row>
    <row r="503" spans="1:2" x14ac:dyDescent="0.35">
      <c r="A503" s="32" t="s">
        <v>404</v>
      </c>
      <c r="B503" s="32"/>
    </row>
    <row r="504" spans="1:2" x14ac:dyDescent="0.35">
      <c r="A504" s="32" t="s">
        <v>405</v>
      </c>
      <c r="B504" s="32"/>
    </row>
    <row r="505" spans="1:2" x14ac:dyDescent="0.35">
      <c r="A505" s="32" t="s">
        <v>406</v>
      </c>
      <c r="B505" s="32"/>
    </row>
    <row r="506" spans="1:2" x14ac:dyDescent="0.35">
      <c r="A506" s="32" t="s">
        <v>407</v>
      </c>
      <c r="B506" s="32"/>
    </row>
    <row r="507" spans="1:2" x14ac:dyDescent="0.35">
      <c r="A507" s="32" t="s">
        <v>408</v>
      </c>
      <c r="B507" s="32"/>
    </row>
    <row r="508" spans="1:2" x14ac:dyDescent="0.35">
      <c r="A508" s="32" t="s">
        <v>409</v>
      </c>
      <c r="B508" s="32"/>
    </row>
    <row r="509" spans="1:2" x14ac:dyDescent="0.35">
      <c r="A509" s="32" t="s">
        <v>410</v>
      </c>
      <c r="B509" s="32"/>
    </row>
    <row r="510" spans="1:2" x14ac:dyDescent="0.35">
      <c r="A510" s="32" t="s">
        <v>411</v>
      </c>
      <c r="B510" s="32"/>
    </row>
    <row r="511" spans="1:2" x14ac:dyDescent="0.35">
      <c r="A511" s="32" t="s">
        <v>412</v>
      </c>
      <c r="B511" s="32"/>
    </row>
    <row r="512" spans="1:2" x14ac:dyDescent="0.35">
      <c r="A512" s="32" t="s">
        <v>413</v>
      </c>
      <c r="B512" s="32"/>
    </row>
    <row r="513" spans="1:2" x14ac:dyDescent="0.35">
      <c r="A513" s="32" t="s">
        <v>414</v>
      </c>
      <c r="B513" s="32"/>
    </row>
    <row r="514" spans="1:2" x14ac:dyDescent="0.35">
      <c r="A514" s="32" t="s">
        <v>415</v>
      </c>
      <c r="B514" s="32"/>
    </row>
    <row r="515" spans="1:2" x14ac:dyDescent="0.35">
      <c r="A515" s="32" t="s">
        <v>416</v>
      </c>
      <c r="B515" s="32"/>
    </row>
    <row r="516" spans="1:2" x14ac:dyDescent="0.35">
      <c r="A516" s="32" t="s">
        <v>417</v>
      </c>
      <c r="B516" s="32"/>
    </row>
    <row r="517" spans="1:2" x14ac:dyDescent="0.35">
      <c r="A517" s="32" t="s">
        <v>418</v>
      </c>
      <c r="B517" s="32"/>
    </row>
    <row r="518" spans="1:2" x14ac:dyDescent="0.35">
      <c r="A518" s="32" t="s">
        <v>419</v>
      </c>
      <c r="B518" s="32"/>
    </row>
    <row r="519" spans="1:2" x14ac:dyDescent="0.35">
      <c r="A519" s="32" t="s">
        <v>420</v>
      </c>
      <c r="B519" s="32"/>
    </row>
    <row r="520" spans="1:2" x14ac:dyDescent="0.35">
      <c r="A520" s="32" t="s">
        <v>421</v>
      </c>
      <c r="B520" s="32"/>
    </row>
    <row r="521" spans="1:2" x14ac:dyDescent="0.35">
      <c r="A521" s="32" t="s">
        <v>422</v>
      </c>
      <c r="B521" s="32"/>
    </row>
    <row r="522" spans="1:2" x14ac:dyDescent="0.35">
      <c r="A522" s="32" t="s">
        <v>423</v>
      </c>
      <c r="B522" s="32"/>
    </row>
    <row r="523" spans="1:2" x14ac:dyDescent="0.35">
      <c r="A523" s="32" t="s">
        <v>424</v>
      </c>
      <c r="B523" s="32"/>
    </row>
    <row r="524" spans="1:2" x14ac:dyDescent="0.35">
      <c r="A524" s="32" t="s">
        <v>425</v>
      </c>
      <c r="B524" s="32"/>
    </row>
    <row r="525" spans="1:2" x14ac:dyDescent="0.35">
      <c r="A525" s="32" t="s">
        <v>426</v>
      </c>
      <c r="B525" s="32"/>
    </row>
    <row r="526" spans="1:2" x14ac:dyDescent="0.35">
      <c r="A526" s="32" t="s">
        <v>427</v>
      </c>
      <c r="B526" s="32"/>
    </row>
    <row r="527" spans="1:2" x14ac:dyDescent="0.35">
      <c r="A527" s="32" t="s">
        <v>428</v>
      </c>
      <c r="B527" s="32"/>
    </row>
    <row r="528" spans="1:2" x14ac:dyDescent="0.35">
      <c r="A528" s="32" t="s">
        <v>429</v>
      </c>
      <c r="B528" s="32"/>
    </row>
    <row r="529" spans="1:2" x14ac:dyDescent="0.35">
      <c r="A529" s="32" t="s">
        <v>430</v>
      </c>
      <c r="B529" s="32"/>
    </row>
    <row r="530" spans="1:2" x14ac:dyDescent="0.35">
      <c r="A530" s="32" t="s">
        <v>431</v>
      </c>
      <c r="B530" s="32"/>
    </row>
    <row r="531" spans="1:2" x14ac:dyDescent="0.35">
      <c r="A531" s="32" t="s">
        <v>432</v>
      </c>
      <c r="B531" s="32"/>
    </row>
    <row r="532" spans="1:2" x14ac:dyDescent="0.35">
      <c r="A532" s="32" t="s">
        <v>433</v>
      </c>
      <c r="B532" s="32"/>
    </row>
    <row r="533" spans="1:2" x14ac:dyDescent="0.35">
      <c r="A533" s="32" t="s">
        <v>434</v>
      </c>
      <c r="B533" s="32"/>
    </row>
    <row r="534" spans="1:2" x14ac:dyDescent="0.35">
      <c r="A534" s="32" t="s">
        <v>435</v>
      </c>
      <c r="B534" s="32"/>
    </row>
    <row r="535" spans="1:2" x14ac:dyDescent="0.35">
      <c r="A535" s="32" t="s">
        <v>436</v>
      </c>
      <c r="B535" s="32"/>
    </row>
    <row r="536" spans="1:2" x14ac:dyDescent="0.35">
      <c r="A536" s="32" t="s">
        <v>437</v>
      </c>
      <c r="B536" s="32"/>
    </row>
    <row r="537" spans="1:2" x14ac:dyDescent="0.35">
      <c r="A537" s="32" t="s">
        <v>438</v>
      </c>
      <c r="B537" s="32"/>
    </row>
    <row r="538" spans="1:2" x14ac:dyDescent="0.35">
      <c r="A538" s="32" t="s">
        <v>439</v>
      </c>
      <c r="B538" s="32"/>
    </row>
    <row r="539" spans="1:2" x14ac:dyDescent="0.35">
      <c r="A539" s="32" t="s">
        <v>440</v>
      </c>
      <c r="B539" s="32"/>
    </row>
    <row r="540" spans="1:2" x14ac:dyDescent="0.35">
      <c r="A540" s="32" t="s">
        <v>441</v>
      </c>
      <c r="B540" s="32"/>
    </row>
    <row r="541" spans="1:2" x14ac:dyDescent="0.35">
      <c r="A541" s="32" t="s">
        <v>442</v>
      </c>
      <c r="B541" s="32"/>
    </row>
    <row r="542" spans="1:2" x14ac:dyDescent="0.35">
      <c r="A542" s="32" t="s">
        <v>443</v>
      </c>
      <c r="B542" s="32"/>
    </row>
    <row r="543" spans="1:2" x14ac:dyDescent="0.35">
      <c r="A543" s="32" t="s">
        <v>444</v>
      </c>
      <c r="B543" s="32"/>
    </row>
    <row r="544" spans="1:2" x14ac:dyDescent="0.35">
      <c r="A544" s="32" t="s">
        <v>445</v>
      </c>
      <c r="B544" s="32"/>
    </row>
    <row r="545" spans="1:2" x14ac:dyDescent="0.35">
      <c r="A545" s="32" t="s">
        <v>446</v>
      </c>
      <c r="B545" s="32"/>
    </row>
    <row r="546" spans="1:2" x14ac:dyDescent="0.35">
      <c r="A546" s="32" t="s">
        <v>447</v>
      </c>
      <c r="B546" s="32"/>
    </row>
    <row r="547" spans="1:2" x14ac:dyDescent="0.35">
      <c r="A547" s="32" t="s">
        <v>448</v>
      </c>
      <c r="B547" s="32"/>
    </row>
    <row r="548" spans="1:2" x14ac:dyDescent="0.35">
      <c r="A548" s="32" t="s">
        <v>449</v>
      </c>
      <c r="B548" s="32"/>
    </row>
    <row r="549" spans="1:2" x14ac:dyDescent="0.35">
      <c r="A549" s="32" t="s">
        <v>450</v>
      </c>
      <c r="B549" s="32"/>
    </row>
    <row r="550" spans="1:2" x14ac:dyDescent="0.35">
      <c r="A550" s="32" t="s">
        <v>451</v>
      </c>
      <c r="B550" s="32"/>
    </row>
    <row r="551" spans="1:2" x14ac:dyDescent="0.35">
      <c r="A551" s="32" t="s">
        <v>452</v>
      </c>
      <c r="B551" s="32"/>
    </row>
    <row r="552" spans="1:2" x14ac:dyDescent="0.35">
      <c r="A552" s="32" t="s">
        <v>453</v>
      </c>
      <c r="B552" s="32"/>
    </row>
    <row r="553" spans="1:2" x14ac:dyDescent="0.35">
      <c r="A553" s="32" t="s">
        <v>454</v>
      </c>
      <c r="B553" s="32"/>
    </row>
    <row r="554" spans="1:2" x14ac:dyDescent="0.35">
      <c r="A554" s="32" t="s">
        <v>455</v>
      </c>
      <c r="B554" s="32"/>
    </row>
    <row r="555" spans="1:2" x14ac:dyDescent="0.35">
      <c r="A555" s="32" t="s">
        <v>456</v>
      </c>
      <c r="B555" s="32"/>
    </row>
    <row r="556" spans="1:2" x14ac:dyDescent="0.35">
      <c r="A556" s="32" t="s">
        <v>457</v>
      </c>
      <c r="B556" s="32"/>
    </row>
    <row r="557" spans="1:2" x14ac:dyDescent="0.35">
      <c r="A557" s="32" t="s">
        <v>458</v>
      </c>
      <c r="B557" s="32"/>
    </row>
    <row r="558" spans="1:2" x14ac:dyDescent="0.35">
      <c r="A558" s="32" t="s">
        <v>459</v>
      </c>
      <c r="B558" s="32"/>
    </row>
    <row r="559" spans="1:2" x14ac:dyDescent="0.35">
      <c r="A559" s="32" t="s">
        <v>460</v>
      </c>
      <c r="B559" s="32"/>
    </row>
    <row r="560" spans="1:2" x14ac:dyDescent="0.35">
      <c r="A560" s="32" t="s">
        <v>461</v>
      </c>
      <c r="B560" s="32"/>
    </row>
    <row r="561" spans="1:2" x14ac:dyDescent="0.35">
      <c r="A561" s="32" t="s">
        <v>462</v>
      </c>
      <c r="B561" s="32"/>
    </row>
    <row r="562" spans="1:2" x14ac:dyDescent="0.35">
      <c r="A562" s="32" t="s">
        <v>463</v>
      </c>
      <c r="B562" s="32"/>
    </row>
    <row r="563" spans="1:2" x14ac:dyDescent="0.35">
      <c r="A563" s="32" t="s">
        <v>464</v>
      </c>
      <c r="B563" s="32"/>
    </row>
    <row r="564" spans="1:2" x14ac:dyDescent="0.35">
      <c r="A564" s="32" t="s">
        <v>465</v>
      </c>
      <c r="B564" s="32"/>
    </row>
    <row r="565" spans="1:2" x14ac:dyDescent="0.35">
      <c r="A565" s="32" t="s">
        <v>466</v>
      </c>
      <c r="B565" s="32"/>
    </row>
    <row r="566" spans="1:2" x14ac:dyDescent="0.35">
      <c r="A566" s="32" t="s">
        <v>467</v>
      </c>
      <c r="B566" s="32"/>
    </row>
    <row r="567" spans="1:2" x14ac:dyDescent="0.35">
      <c r="A567" s="32" t="s">
        <v>468</v>
      </c>
      <c r="B567" s="32"/>
    </row>
    <row r="568" spans="1:2" x14ac:dyDescent="0.35">
      <c r="A568" s="32" t="s">
        <v>469</v>
      </c>
      <c r="B568" s="32"/>
    </row>
    <row r="569" spans="1:2" x14ac:dyDescent="0.35">
      <c r="A569" s="32" t="s">
        <v>470</v>
      </c>
      <c r="B569" s="32"/>
    </row>
    <row r="570" spans="1:2" x14ac:dyDescent="0.35">
      <c r="A570" s="32" t="s">
        <v>471</v>
      </c>
      <c r="B570" s="32"/>
    </row>
    <row r="571" spans="1:2" x14ac:dyDescent="0.35">
      <c r="A571" s="32" t="s">
        <v>472</v>
      </c>
      <c r="B571" s="32"/>
    </row>
    <row r="572" spans="1:2" x14ac:dyDescent="0.35">
      <c r="A572" s="32" t="s">
        <v>473</v>
      </c>
      <c r="B572" s="32"/>
    </row>
    <row r="573" spans="1:2" x14ac:dyDescent="0.35">
      <c r="A573" s="32" t="s">
        <v>474</v>
      </c>
      <c r="B573" s="32"/>
    </row>
    <row r="574" spans="1:2" x14ac:dyDescent="0.35">
      <c r="A574" s="32" t="s">
        <v>475</v>
      </c>
      <c r="B574" s="32"/>
    </row>
    <row r="575" spans="1:2" x14ac:dyDescent="0.35">
      <c r="A575" s="32" t="s">
        <v>476</v>
      </c>
      <c r="B575" s="32"/>
    </row>
    <row r="576" spans="1:2" x14ac:dyDescent="0.35">
      <c r="A576" s="32" t="s">
        <v>477</v>
      </c>
      <c r="B576" s="32"/>
    </row>
    <row r="577" spans="1:2" x14ac:dyDescent="0.35">
      <c r="A577" s="32" t="s">
        <v>478</v>
      </c>
      <c r="B577" s="32"/>
    </row>
    <row r="578" spans="1:2" x14ac:dyDescent="0.35">
      <c r="A578" s="32" t="s">
        <v>479</v>
      </c>
      <c r="B578" s="32"/>
    </row>
    <row r="579" spans="1:2" x14ac:dyDescent="0.35">
      <c r="A579" s="32" t="s">
        <v>480</v>
      </c>
      <c r="B579" s="32"/>
    </row>
    <row r="580" spans="1:2" x14ac:dyDescent="0.35">
      <c r="A580" s="32" t="s">
        <v>481</v>
      </c>
      <c r="B580" s="32"/>
    </row>
    <row r="581" spans="1:2" x14ac:dyDescent="0.35">
      <c r="A581" s="32" t="s">
        <v>482</v>
      </c>
      <c r="B581" s="32"/>
    </row>
    <row r="582" spans="1:2" x14ac:dyDescent="0.35">
      <c r="A582" s="32" t="s">
        <v>483</v>
      </c>
      <c r="B582" s="32"/>
    </row>
    <row r="583" spans="1:2" x14ac:dyDescent="0.35">
      <c r="A583" s="32" t="s">
        <v>484</v>
      </c>
      <c r="B583" s="32"/>
    </row>
    <row r="584" spans="1:2" x14ac:dyDescent="0.35">
      <c r="A584" s="32" t="s">
        <v>485</v>
      </c>
      <c r="B584" s="32"/>
    </row>
    <row r="585" spans="1:2" x14ac:dyDescent="0.35">
      <c r="A585" s="32" t="s">
        <v>486</v>
      </c>
      <c r="B585" s="32"/>
    </row>
    <row r="586" spans="1:2" x14ac:dyDescent="0.35">
      <c r="A586" s="32" t="s">
        <v>487</v>
      </c>
      <c r="B586" s="32"/>
    </row>
    <row r="587" spans="1:2" x14ac:dyDescent="0.35">
      <c r="A587" s="32" t="s">
        <v>488</v>
      </c>
      <c r="B587" s="32"/>
    </row>
    <row r="588" spans="1:2" x14ac:dyDescent="0.35">
      <c r="A588" s="32" t="s">
        <v>489</v>
      </c>
      <c r="B588" s="32"/>
    </row>
    <row r="589" spans="1:2" x14ac:dyDescent="0.35">
      <c r="A589" s="32" t="s">
        <v>490</v>
      </c>
      <c r="B589" s="32"/>
    </row>
    <row r="590" spans="1:2" x14ac:dyDescent="0.35">
      <c r="A590" s="32" t="s">
        <v>491</v>
      </c>
      <c r="B590" s="32"/>
    </row>
    <row r="591" spans="1:2" x14ac:dyDescent="0.35">
      <c r="A591" s="32" t="s">
        <v>492</v>
      </c>
      <c r="B591" s="32"/>
    </row>
    <row r="592" spans="1:2" x14ac:dyDescent="0.35">
      <c r="A592" s="32" t="s">
        <v>493</v>
      </c>
      <c r="B592" s="32"/>
    </row>
    <row r="593" spans="1:2" x14ac:dyDescent="0.35">
      <c r="A593" s="32" t="s">
        <v>494</v>
      </c>
      <c r="B593" s="32"/>
    </row>
    <row r="594" spans="1:2" x14ac:dyDescent="0.35">
      <c r="A594" s="32" t="s">
        <v>495</v>
      </c>
      <c r="B594" s="32"/>
    </row>
    <row r="595" spans="1:2" x14ac:dyDescent="0.35">
      <c r="A595" s="32" t="s">
        <v>496</v>
      </c>
      <c r="B595" s="32"/>
    </row>
    <row r="596" spans="1:2" x14ac:dyDescent="0.35">
      <c r="A596" s="32" t="s">
        <v>497</v>
      </c>
      <c r="B596" s="32"/>
    </row>
    <row r="597" spans="1:2" x14ac:dyDescent="0.35">
      <c r="A597" s="32" t="s">
        <v>498</v>
      </c>
      <c r="B597" s="32"/>
    </row>
    <row r="598" spans="1:2" x14ac:dyDescent="0.35">
      <c r="A598" s="32" t="s">
        <v>499</v>
      </c>
      <c r="B598" s="32"/>
    </row>
    <row r="599" spans="1:2" x14ac:dyDescent="0.35">
      <c r="A599" s="32" t="s">
        <v>500</v>
      </c>
      <c r="B599" s="32"/>
    </row>
    <row r="600" spans="1:2" x14ac:dyDescent="0.35">
      <c r="A600" s="32" t="s">
        <v>501</v>
      </c>
      <c r="B600" s="32"/>
    </row>
    <row r="601" spans="1:2" x14ac:dyDescent="0.35">
      <c r="A601" s="32" t="s">
        <v>502</v>
      </c>
      <c r="B601" s="32"/>
    </row>
    <row r="602" spans="1:2" x14ac:dyDescent="0.35">
      <c r="A602" s="32" t="s">
        <v>503</v>
      </c>
      <c r="B602" s="32"/>
    </row>
    <row r="603" spans="1:2" x14ac:dyDescent="0.35">
      <c r="A603" s="32" t="s">
        <v>504</v>
      </c>
      <c r="B603" s="32"/>
    </row>
    <row r="604" spans="1:2" x14ac:dyDescent="0.35">
      <c r="A604" s="32" t="s">
        <v>505</v>
      </c>
      <c r="B604" s="32"/>
    </row>
    <row r="605" spans="1:2" x14ac:dyDescent="0.35">
      <c r="A605" s="32" t="s">
        <v>506</v>
      </c>
      <c r="B605" s="32"/>
    </row>
    <row r="606" spans="1:2" x14ac:dyDescent="0.35">
      <c r="A606" s="32" t="s">
        <v>507</v>
      </c>
      <c r="B606" s="32"/>
    </row>
    <row r="607" spans="1:2" x14ac:dyDescent="0.35">
      <c r="A607" s="32" t="s">
        <v>508</v>
      </c>
      <c r="B607" s="32"/>
    </row>
    <row r="608" spans="1:2" x14ac:dyDescent="0.35">
      <c r="A608" s="32" t="s">
        <v>509</v>
      </c>
      <c r="B608" s="32"/>
    </row>
    <row r="609" spans="1:2" x14ac:dyDescent="0.35">
      <c r="A609" s="32" t="s">
        <v>510</v>
      </c>
      <c r="B609" s="32"/>
    </row>
    <row r="610" spans="1:2" x14ac:dyDescent="0.35">
      <c r="A610" s="32" t="s">
        <v>511</v>
      </c>
      <c r="B610" s="32"/>
    </row>
    <row r="611" spans="1:2" x14ac:dyDescent="0.35">
      <c r="A611" s="32" t="s">
        <v>512</v>
      </c>
      <c r="B611" s="32"/>
    </row>
    <row r="612" spans="1:2" x14ac:dyDescent="0.35">
      <c r="A612" s="32" t="s">
        <v>513</v>
      </c>
      <c r="B612" s="32"/>
    </row>
    <row r="613" spans="1:2" x14ac:dyDescent="0.35">
      <c r="A613" s="32" t="s">
        <v>514</v>
      </c>
      <c r="B613" s="32"/>
    </row>
    <row r="614" spans="1:2" x14ac:dyDescent="0.35">
      <c r="A614" s="32" t="s">
        <v>515</v>
      </c>
      <c r="B614" s="32"/>
    </row>
    <row r="615" spans="1:2" x14ac:dyDescent="0.35">
      <c r="A615" s="32" t="s">
        <v>516</v>
      </c>
      <c r="B615" s="32"/>
    </row>
    <row r="616" spans="1:2" x14ac:dyDescent="0.35">
      <c r="A616" s="32" t="s">
        <v>517</v>
      </c>
      <c r="B616" s="32"/>
    </row>
    <row r="617" spans="1:2" x14ac:dyDescent="0.35">
      <c r="A617" s="32" t="s">
        <v>518</v>
      </c>
      <c r="B617" s="32"/>
    </row>
    <row r="618" spans="1:2" x14ac:dyDescent="0.35">
      <c r="A618" s="32" t="s">
        <v>519</v>
      </c>
      <c r="B618" s="32"/>
    </row>
    <row r="619" spans="1:2" x14ac:dyDescent="0.35">
      <c r="A619" s="32" t="s">
        <v>520</v>
      </c>
      <c r="B619" s="32"/>
    </row>
    <row r="620" spans="1:2" x14ac:dyDescent="0.35">
      <c r="A620" s="32" t="s">
        <v>521</v>
      </c>
      <c r="B620" s="32"/>
    </row>
    <row r="621" spans="1:2" x14ac:dyDescent="0.35">
      <c r="A621" s="32" t="s">
        <v>522</v>
      </c>
      <c r="B621" s="32"/>
    </row>
    <row r="622" spans="1:2" x14ac:dyDescent="0.35">
      <c r="A622" s="32" t="s">
        <v>523</v>
      </c>
      <c r="B622" s="32"/>
    </row>
    <row r="623" spans="1:2" x14ac:dyDescent="0.35">
      <c r="A623" s="32" t="s">
        <v>524</v>
      </c>
      <c r="B623" s="32"/>
    </row>
    <row r="624" spans="1:2" x14ac:dyDescent="0.35">
      <c r="A624" s="32" t="s">
        <v>525</v>
      </c>
      <c r="B624" s="32"/>
    </row>
    <row r="625" spans="1:2" x14ac:dyDescent="0.35">
      <c r="A625" s="32" t="s">
        <v>526</v>
      </c>
      <c r="B625" s="32"/>
    </row>
    <row r="626" spans="1:2" x14ac:dyDescent="0.35">
      <c r="A626" s="32" t="s">
        <v>527</v>
      </c>
      <c r="B626" s="32"/>
    </row>
    <row r="627" spans="1:2" x14ac:dyDescent="0.35">
      <c r="A627" s="32" t="s">
        <v>528</v>
      </c>
      <c r="B627" s="32"/>
    </row>
    <row r="628" spans="1:2" x14ac:dyDescent="0.35">
      <c r="A628" s="32" t="s">
        <v>529</v>
      </c>
      <c r="B628" s="32"/>
    </row>
    <row r="629" spans="1:2" x14ac:dyDescent="0.35">
      <c r="A629" s="32" t="s">
        <v>530</v>
      </c>
      <c r="B629" s="32"/>
    </row>
    <row r="630" spans="1:2" x14ac:dyDescent="0.35">
      <c r="A630" s="32" t="s">
        <v>531</v>
      </c>
      <c r="B630" s="32"/>
    </row>
    <row r="631" spans="1:2" x14ac:dyDescent="0.35">
      <c r="A631" s="32" t="s">
        <v>532</v>
      </c>
      <c r="B631" s="32"/>
    </row>
    <row r="632" spans="1:2" x14ac:dyDescent="0.35">
      <c r="A632" s="32" t="s">
        <v>533</v>
      </c>
      <c r="B632" s="32"/>
    </row>
    <row r="633" spans="1:2" x14ac:dyDescent="0.35">
      <c r="A633" s="32" t="s">
        <v>534</v>
      </c>
      <c r="B633" s="32"/>
    </row>
    <row r="634" spans="1:2" x14ac:dyDescent="0.35">
      <c r="A634" s="32" t="s">
        <v>535</v>
      </c>
      <c r="B634" s="32"/>
    </row>
    <row r="635" spans="1:2" x14ac:dyDescent="0.35">
      <c r="A635" s="32" t="s">
        <v>536</v>
      </c>
      <c r="B635" s="32"/>
    </row>
    <row r="636" spans="1:2" x14ac:dyDescent="0.35">
      <c r="A636" s="32" t="s">
        <v>537</v>
      </c>
      <c r="B636" s="32"/>
    </row>
    <row r="637" spans="1:2" x14ac:dyDescent="0.35">
      <c r="A637" s="32" t="s">
        <v>538</v>
      </c>
      <c r="B637" s="32"/>
    </row>
    <row r="638" spans="1:2" x14ac:dyDescent="0.35">
      <c r="A638" s="32" t="s">
        <v>539</v>
      </c>
      <c r="B638" s="32"/>
    </row>
    <row r="639" spans="1:2" x14ac:dyDescent="0.35">
      <c r="A639" s="32" t="s">
        <v>540</v>
      </c>
      <c r="B639" s="32"/>
    </row>
    <row r="640" spans="1:2" x14ac:dyDescent="0.35">
      <c r="A640" s="32" t="s">
        <v>541</v>
      </c>
      <c r="B640" s="32"/>
    </row>
    <row r="641" spans="1:2" x14ac:dyDescent="0.35">
      <c r="A641" s="32" t="s">
        <v>542</v>
      </c>
      <c r="B641" s="32"/>
    </row>
    <row r="642" spans="1:2" x14ac:dyDescent="0.35">
      <c r="A642" s="32" t="s">
        <v>543</v>
      </c>
      <c r="B642" s="32"/>
    </row>
    <row r="643" spans="1:2" x14ac:dyDescent="0.35">
      <c r="A643" s="32" t="s">
        <v>544</v>
      </c>
      <c r="B643" s="32"/>
    </row>
    <row r="644" spans="1:2" x14ac:dyDescent="0.35">
      <c r="A644" s="32" t="s">
        <v>545</v>
      </c>
      <c r="B644" s="32"/>
    </row>
    <row r="645" spans="1:2" x14ac:dyDescent="0.35">
      <c r="A645" s="32" t="s">
        <v>546</v>
      </c>
      <c r="B645" s="32"/>
    </row>
    <row r="646" spans="1:2" x14ac:dyDescent="0.35">
      <c r="A646" s="32" t="s">
        <v>547</v>
      </c>
      <c r="B646" s="32"/>
    </row>
    <row r="647" spans="1:2" x14ac:dyDescent="0.35">
      <c r="A647" s="32" t="s">
        <v>548</v>
      </c>
      <c r="B647" s="32"/>
    </row>
    <row r="648" spans="1:2" x14ac:dyDescent="0.35">
      <c r="A648" s="32" t="s">
        <v>549</v>
      </c>
      <c r="B648" s="32"/>
    </row>
    <row r="649" spans="1:2" x14ac:dyDescent="0.35">
      <c r="A649" s="32" t="s">
        <v>550</v>
      </c>
      <c r="B649" s="32"/>
    </row>
    <row r="650" spans="1:2" x14ac:dyDescent="0.35">
      <c r="A650" s="32" t="s">
        <v>551</v>
      </c>
      <c r="B650" s="32"/>
    </row>
    <row r="651" spans="1:2" x14ac:dyDescent="0.35">
      <c r="A651" s="32" t="s">
        <v>552</v>
      </c>
      <c r="B651" s="32"/>
    </row>
    <row r="652" spans="1:2" x14ac:dyDescent="0.35">
      <c r="A652" s="32" t="s">
        <v>553</v>
      </c>
      <c r="B652" s="32"/>
    </row>
    <row r="653" spans="1:2" x14ac:dyDescent="0.35">
      <c r="A653" s="32" t="s">
        <v>554</v>
      </c>
      <c r="B653" s="32"/>
    </row>
    <row r="654" spans="1:2" x14ac:dyDescent="0.35">
      <c r="A654" s="32" t="s">
        <v>555</v>
      </c>
      <c r="B654" s="32"/>
    </row>
    <row r="655" spans="1:2" x14ac:dyDescent="0.35">
      <c r="A655" s="32" t="s">
        <v>556</v>
      </c>
      <c r="B655" s="32"/>
    </row>
    <row r="656" spans="1:2" x14ac:dyDescent="0.35">
      <c r="A656" s="32" t="s">
        <v>557</v>
      </c>
      <c r="B656" s="32"/>
    </row>
    <row r="657" spans="1:2" x14ac:dyDescent="0.35">
      <c r="A657" s="32" t="s">
        <v>558</v>
      </c>
      <c r="B657" s="32"/>
    </row>
    <row r="658" spans="1:2" x14ac:dyDescent="0.35">
      <c r="A658" s="32" t="s">
        <v>559</v>
      </c>
      <c r="B658" s="32"/>
    </row>
    <row r="659" spans="1:2" x14ac:dyDescent="0.35">
      <c r="A659" s="32" t="s">
        <v>560</v>
      </c>
      <c r="B659" s="32"/>
    </row>
    <row r="660" spans="1:2" x14ac:dyDescent="0.35">
      <c r="A660" s="32" t="s">
        <v>561</v>
      </c>
      <c r="B660" s="32"/>
    </row>
    <row r="661" spans="1:2" x14ac:dyDescent="0.35">
      <c r="A661" s="32" t="s">
        <v>562</v>
      </c>
      <c r="B661" s="32"/>
    </row>
    <row r="662" spans="1:2" x14ac:dyDescent="0.35">
      <c r="A662" s="32" t="s">
        <v>563</v>
      </c>
      <c r="B662" s="32"/>
    </row>
    <row r="663" spans="1:2" x14ac:dyDescent="0.35">
      <c r="A663" s="32" t="s">
        <v>564</v>
      </c>
      <c r="B663" s="32"/>
    </row>
    <row r="664" spans="1:2" x14ac:dyDescent="0.35">
      <c r="A664" s="32" t="s">
        <v>565</v>
      </c>
      <c r="B664" s="32"/>
    </row>
    <row r="665" spans="1:2" x14ac:dyDescent="0.35">
      <c r="A665" s="32" t="s">
        <v>566</v>
      </c>
      <c r="B665" s="32"/>
    </row>
    <row r="666" spans="1:2" x14ac:dyDescent="0.35">
      <c r="A666" s="32" t="s">
        <v>567</v>
      </c>
      <c r="B666" s="32"/>
    </row>
    <row r="667" spans="1:2" x14ac:dyDescent="0.35">
      <c r="A667" s="32" t="s">
        <v>568</v>
      </c>
      <c r="B667" s="32"/>
    </row>
    <row r="668" spans="1:2" x14ac:dyDescent="0.35">
      <c r="A668" s="32" t="s">
        <v>569</v>
      </c>
      <c r="B668" s="32"/>
    </row>
    <row r="669" spans="1:2" x14ac:dyDescent="0.35">
      <c r="A669" s="32" t="s">
        <v>570</v>
      </c>
      <c r="B669" s="32"/>
    </row>
    <row r="670" spans="1:2" x14ac:dyDescent="0.35">
      <c r="A670" s="32" t="s">
        <v>571</v>
      </c>
      <c r="B670" s="32"/>
    </row>
    <row r="671" spans="1:2" x14ac:dyDescent="0.35">
      <c r="A671" s="32" t="s">
        <v>572</v>
      </c>
      <c r="B671" s="32"/>
    </row>
    <row r="672" spans="1:2" x14ac:dyDescent="0.35">
      <c r="A672" s="32" t="s">
        <v>573</v>
      </c>
      <c r="B672" s="32"/>
    </row>
    <row r="673" spans="1:2" x14ac:dyDescent="0.35">
      <c r="A673" s="32" t="s">
        <v>574</v>
      </c>
      <c r="B673" s="32"/>
    </row>
    <row r="674" spans="1:2" x14ac:dyDescent="0.35">
      <c r="A674" s="32" t="s">
        <v>575</v>
      </c>
      <c r="B674" s="32"/>
    </row>
    <row r="675" spans="1:2" x14ac:dyDescent="0.35">
      <c r="A675" s="32" t="s">
        <v>576</v>
      </c>
      <c r="B675" s="32"/>
    </row>
    <row r="676" spans="1:2" x14ac:dyDescent="0.35">
      <c r="A676" s="32" t="s">
        <v>577</v>
      </c>
      <c r="B676" s="32"/>
    </row>
    <row r="677" spans="1:2" x14ac:dyDescent="0.35">
      <c r="A677" s="32" t="s">
        <v>578</v>
      </c>
      <c r="B677" s="32"/>
    </row>
    <row r="678" spans="1:2" x14ac:dyDescent="0.35">
      <c r="A678" s="32" t="s">
        <v>579</v>
      </c>
      <c r="B678" s="32"/>
    </row>
    <row r="679" spans="1:2" x14ac:dyDescent="0.35">
      <c r="A679" s="32" t="s">
        <v>580</v>
      </c>
      <c r="B679" s="32"/>
    </row>
    <row r="680" spans="1:2" x14ac:dyDescent="0.35">
      <c r="A680" s="32" t="s">
        <v>581</v>
      </c>
      <c r="B680" s="32"/>
    </row>
    <row r="681" spans="1:2" x14ac:dyDescent="0.35">
      <c r="A681" s="32" t="s">
        <v>582</v>
      </c>
      <c r="B681" s="32"/>
    </row>
    <row r="682" spans="1:2" x14ac:dyDescent="0.35">
      <c r="A682" s="32" t="s">
        <v>583</v>
      </c>
      <c r="B682" s="32"/>
    </row>
    <row r="683" spans="1:2" x14ac:dyDescent="0.35">
      <c r="A683" s="32" t="s">
        <v>584</v>
      </c>
      <c r="B683" s="32"/>
    </row>
    <row r="684" spans="1:2" x14ac:dyDescent="0.35">
      <c r="A684" s="32" t="s">
        <v>585</v>
      </c>
      <c r="B684" s="32"/>
    </row>
    <row r="685" spans="1:2" x14ac:dyDescent="0.35">
      <c r="A685" s="32" t="s">
        <v>586</v>
      </c>
      <c r="B685" s="32"/>
    </row>
    <row r="686" spans="1:2" x14ac:dyDescent="0.35">
      <c r="A686" s="32" t="s">
        <v>587</v>
      </c>
      <c r="B686" s="32"/>
    </row>
    <row r="687" spans="1:2" x14ac:dyDescent="0.35">
      <c r="A687" s="32" t="s">
        <v>588</v>
      </c>
      <c r="B687" s="32"/>
    </row>
    <row r="688" spans="1:2" x14ac:dyDescent="0.35">
      <c r="A688" s="32" t="s">
        <v>589</v>
      </c>
      <c r="B688" s="32"/>
    </row>
    <row r="689" spans="1:2" x14ac:dyDescent="0.35">
      <c r="A689" s="32" t="s">
        <v>590</v>
      </c>
      <c r="B689" s="32"/>
    </row>
    <row r="690" spans="1:2" x14ac:dyDescent="0.35">
      <c r="A690" s="32" t="s">
        <v>591</v>
      </c>
      <c r="B690" s="32"/>
    </row>
    <row r="691" spans="1:2" x14ac:dyDescent="0.35">
      <c r="A691" s="32" t="s">
        <v>592</v>
      </c>
      <c r="B691" s="32"/>
    </row>
    <row r="692" spans="1:2" x14ac:dyDescent="0.35">
      <c r="A692" s="32" t="s">
        <v>593</v>
      </c>
      <c r="B692" s="32"/>
    </row>
    <row r="693" spans="1:2" x14ac:dyDescent="0.35">
      <c r="A693" s="32" t="s">
        <v>594</v>
      </c>
      <c r="B693" s="32"/>
    </row>
    <row r="694" spans="1:2" x14ac:dyDescent="0.35">
      <c r="A694" s="32" t="s">
        <v>595</v>
      </c>
      <c r="B694" s="32"/>
    </row>
    <row r="695" spans="1:2" x14ac:dyDescent="0.35">
      <c r="A695" s="32" t="s">
        <v>596</v>
      </c>
      <c r="B695" s="32"/>
    </row>
    <row r="696" spans="1:2" x14ac:dyDescent="0.35">
      <c r="A696" s="32" t="s">
        <v>597</v>
      </c>
      <c r="B696" s="32"/>
    </row>
    <row r="697" spans="1:2" x14ac:dyDescent="0.35">
      <c r="A697" s="32" t="s">
        <v>598</v>
      </c>
      <c r="B697" s="32"/>
    </row>
    <row r="698" spans="1:2" x14ac:dyDescent="0.35">
      <c r="A698" s="32" t="s">
        <v>599</v>
      </c>
      <c r="B698" s="32"/>
    </row>
    <row r="699" spans="1:2" x14ac:dyDescent="0.35">
      <c r="A699" s="32" t="s">
        <v>600</v>
      </c>
      <c r="B699" s="32"/>
    </row>
    <row r="700" spans="1:2" x14ac:dyDescent="0.35">
      <c r="A700" s="32" t="s">
        <v>601</v>
      </c>
      <c r="B700" s="32"/>
    </row>
    <row r="701" spans="1:2" x14ac:dyDescent="0.35">
      <c r="A701" s="32" t="s">
        <v>602</v>
      </c>
      <c r="B701" s="32"/>
    </row>
    <row r="702" spans="1:2" x14ac:dyDescent="0.35">
      <c r="A702" s="32" t="s">
        <v>603</v>
      </c>
      <c r="B702" s="32"/>
    </row>
    <row r="703" spans="1:2" x14ac:dyDescent="0.35">
      <c r="A703" s="32" t="s">
        <v>604</v>
      </c>
      <c r="B703" s="32"/>
    </row>
    <row r="704" spans="1:2" x14ac:dyDescent="0.35">
      <c r="A704" s="32" t="s">
        <v>605</v>
      </c>
      <c r="B704" s="32"/>
    </row>
    <row r="705" spans="1:2" x14ac:dyDescent="0.35">
      <c r="A705" s="32" t="s">
        <v>606</v>
      </c>
      <c r="B705" s="32"/>
    </row>
    <row r="706" spans="1:2" x14ac:dyDescent="0.35">
      <c r="A706" s="32" t="s">
        <v>607</v>
      </c>
      <c r="B706" s="32"/>
    </row>
    <row r="707" spans="1:2" x14ac:dyDescent="0.35">
      <c r="A707" s="32" t="s">
        <v>608</v>
      </c>
      <c r="B707" s="32"/>
    </row>
    <row r="708" spans="1:2" x14ac:dyDescent="0.35">
      <c r="A708" s="32" t="s">
        <v>609</v>
      </c>
      <c r="B708" s="32"/>
    </row>
    <row r="709" spans="1:2" x14ac:dyDescent="0.35">
      <c r="A709" s="32" t="s">
        <v>610</v>
      </c>
      <c r="B709" s="32"/>
    </row>
    <row r="710" spans="1:2" x14ac:dyDescent="0.35">
      <c r="A710" s="32" t="s">
        <v>611</v>
      </c>
      <c r="B710" s="32"/>
    </row>
    <row r="711" spans="1:2" x14ac:dyDescent="0.35">
      <c r="A711" s="32" t="s">
        <v>612</v>
      </c>
      <c r="B711" s="32"/>
    </row>
    <row r="712" spans="1:2" x14ac:dyDescent="0.35">
      <c r="A712" s="32" t="s">
        <v>613</v>
      </c>
      <c r="B712" s="32"/>
    </row>
    <row r="713" spans="1:2" x14ac:dyDescent="0.35">
      <c r="A713" s="32" t="s">
        <v>614</v>
      </c>
      <c r="B713" s="32"/>
    </row>
    <row r="714" spans="1:2" x14ac:dyDescent="0.35">
      <c r="A714" s="32" t="s">
        <v>615</v>
      </c>
      <c r="B714" s="32"/>
    </row>
    <row r="715" spans="1:2" x14ac:dyDescent="0.35">
      <c r="A715" s="32" t="s">
        <v>616</v>
      </c>
      <c r="B715" s="32"/>
    </row>
    <row r="716" spans="1:2" x14ac:dyDescent="0.35">
      <c r="A716" s="32" t="s">
        <v>617</v>
      </c>
      <c r="B716" s="32"/>
    </row>
    <row r="717" spans="1:2" x14ac:dyDescent="0.35">
      <c r="A717" s="32" t="s">
        <v>618</v>
      </c>
      <c r="B717" s="32"/>
    </row>
    <row r="718" spans="1:2" x14ac:dyDescent="0.35">
      <c r="A718" s="32" t="s">
        <v>619</v>
      </c>
      <c r="B718" s="32"/>
    </row>
    <row r="719" spans="1:2" x14ac:dyDescent="0.35">
      <c r="A719" s="32" t="s">
        <v>620</v>
      </c>
      <c r="B719" s="32"/>
    </row>
    <row r="720" spans="1:2" x14ac:dyDescent="0.35">
      <c r="A720" s="32" t="s">
        <v>621</v>
      </c>
      <c r="B720" s="32"/>
    </row>
    <row r="721" spans="1:2" x14ac:dyDescent="0.35">
      <c r="A721" s="32" t="s">
        <v>622</v>
      </c>
      <c r="B721" s="32"/>
    </row>
    <row r="722" spans="1:2" x14ac:dyDescent="0.35">
      <c r="A722" s="32" t="s">
        <v>623</v>
      </c>
      <c r="B722" s="32"/>
    </row>
    <row r="723" spans="1:2" x14ac:dyDescent="0.35">
      <c r="A723" s="32" t="s">
        <v>624</v>
      </c>
      <c r="B723" s="32"/>
    </row>
    <row r="724" spans="1:2" x14ac:dyDescent="0.35">
      <c r="A724" s="32" t="s">
        <v>625</v>
      </c>
      <c r="B724" s="32"/>
    </row>
    <row r="725" spans="1:2" x14ac:dyDescent="0.35">
      <c r="A725" s="32" t="s">
        <v>626</v>
      </c>
      <c r="B725" s="32"/>
    </row>
    <row r="726" spans="1:2" x14ac:dyDescent="0.35">
      <c r="A726" s="32" t="s">
        <v>627</v>
      </c>
      <c r="B726" s="32"/>
    </row>
    <row r="727" spans="1:2" x14ac:dyDescent="0.35">
      <c r="A727" s="32" t="s">
        <v>628</v>
      </c>
      <c r="B727" s="32"/>
    </row>
    <row r="728" spans="1:2" x14ac:dyDescent="0.35">
      <c r="A728" s="32" t="s">
        <v>629</v>
      </c>
      <c r="B728" s="32"/>
    </row>
    <row r="729" spans="1:2" x14ac:dyDescent="0.35">
      <c r="A729" s="32" t="s">
        <v>630</v>
      </c>
      <c r="B729" s="32"/>
    </row>
    <row r="730" spans="1:2" x14ac:dyDescent="0.35">
      <c r="A730" s="32" t="s">
        <v>631</v>
      </c>
      <c r="B730" s="32"/>
    </row>
    <row r="731" spans="1:2" x14ac:dyDescent="0.35">
      <c r="A731" s="32" t="s">
        <v>632</v>
      </c>
      <c r="B731" s="32"/>
    </row>
    <row r="732" spans="1:2" x14ac:dyDescent="0.35">
      <c r="A732" s="32" t="s">
        <v>633</v>
      </c>
      <c r="B732" s="32"/>
    </row>
    <row r="733" spans="1:2" x14ac:dyDescent="0.35">
      <c r="A733" s="32" t="s">
        <v>634</v>
      </c>
      <c r="B733" s="32"/>
    </row>
    <row r="734" spans="1:2" x14ac:dyDescent="0.35">
      <c r="A734" s="32" t="s">
        <v>635</v>
      </c>
      <c r="B734" s="32"/>
    </row>
    <row r="735" spans="1:2" x14ac:dyDescent="0.35">
      <c r="A735" s="32" t="s">
        <v>636</v>
      </c>
      <c r="B735" s="32"/>
    </row>
    <row r="736" spans="1:2" x14ac:dyDescent="0.35">
      <c r="A736" s="32" t="s">
        <v>637</v>
      </c>
      <c r="B736" s="32"/>
    </row>
    <row r="737" spans="1:2" x14ac:dyDescent="0.35">
      <c r="A737" s="32" t="s">
        <v>638</v>
      </c>
      <c r="B737" s="32"/>
    </row>
    <row r="738" spans="1:2" x14ac:dyDescent="0.35">
      <c r="A738" s="32" t="s">
        <v>639</v>
      </c>
      <c r="B738" s="32"/>
    </row>
    <row r="739" spans="1:2" x14ac:dyDescent="0.35">
      <c r="A739" s="32" t="s">
        <v>640</v>
      </c>
      <c r="B739" s="32"/>
    </row>
    <row r="740" spans="1:2" x14ac:dyDescent="0.35">
      <c r="A740" s="32" t="s">
        <v>641</v>
      </c>
      <c r="B740" s="32"/>
    </row>
    <row r="741" spans="1:2" x14ac:dyDescent="0.35">
      <c r="A741" s="32" t="s">
        <v>642</v>
      </c>
      <c r="B741" s="32"/>
    </row>
    <row r="742" spans="1:2" x14ac:dyDescent="0.35">
      <c r="A742" s="32" t="s">
        <v>643</v>
      </c>
      <c r="B742" s="32"/>
    </row>
    <row r="743" spans="1:2" x14ac:dyDescent="0.35">
      <c r="A743" s="32" t="s">
        <v>644</v>
      </c>
      <c r="B743" s="32"/>
    </row>
    <row r="744" spans="1:2" x14ac:dyDescent="0.35">
      <c r="A744" s="32" t="s">
        <v>645</v>
      </c>
      <c r="B744" s="32"/>
    </row>
    <row r="745" spans="1:2" x14ac:dyDescent="0.35">
      <c r="A745" s="32" t="s">
        <v>646</v>
      </c>
      <c r="B745" s="32"/>
    </row>
    <row r="746" spans="1:2" x14ac:dyDescent="0.35">
      <c r="A746" s="32" t="s">
        <v>647</v>
      </c>
      <c r="B746" s="32"/>
    </row>
    <row r="747" spans="1:2" x14ac:dyDescent="0.35">
      <c r="A747" s="32" t="s">
        <v>648</v>
      </c>
      <c r="B747" s="32"/>
    </row>
    <row r="748" spans="1:2" x14ac:dyDescent="0.35">
      <c r="A748" s="32" t="s">
        <v>649</v>
      </c>
      <c r="B748" s="32"/>
    </row>
    <row r="749" spans="1:2" x14ac:dyDescent="0.35">
      <c r="A749" s="32" t="s">
        <v>650</v>
      </c>
      <c r="B749" s="32"/>
    </row>
    <row r="750" spans="1:2" x14ac:dyDescent="0.35">
      <c r="A750" s="32" t="s">
        <v>651</v>
      </c>
      <c r="B750" s="32"/>
    </row>
    <row r="751" spans="1:2" x14ac:dyDescent="0.35">
      <c r="A751" s="32" t="s">
        <v>652</v>
      </c>
      <c r="B751" s="32"/>
    </row>
    <row r="752" spans="1:2" x14ac:dyDescent="0.35">
      <c r="A752" s="32" t="s">
        <v>653</v>
      </c>
      <c r="B752" s="32"/>
    </row>
    <row r="753" spans="1:2" x14ac:dyDescent="0.35">
      <c r="A753" s="32" t="s">
        <v>654</v>
      </c>
      <c r="B753" s="32"/>
    </row>
    <row r="754" spans="1:2" x14ac:dyDescent="0.35">
      <c r="A754" s="32" t="s">
        <v>655</v>
      </c>
      <c r="B754" s="32"/>
    </row>
    <row r="755" spans="1:2" x14ac:dyDescent="0.35">
      <c r="A755" s="32" t="s">
        <v>656</v>
      </c>
      <c r="B755" s="32"/>
    </row>
    <row r="756" spans="1:2" x14ac:dyDescent="0.35">
      <c r="A756" s="32" t="s">
        <v>657</v>
      </c>
      <c r="B756" s="32"/>
    </row>
    <row r="757" spans="1:2" x14ac:dyDescent="0.35">
      <c r="A757" s="32" t="s">
        <v>658</v>
      </c>
      <c r="B757" s="32"/>
    </row>
    <row r="758" spans="1:2" x14ac:dyDescent="0.35">
      <c r="A758" s="32" t="s">
        <v>659</v>
      </c>
      <c r="B758" s="32"/>
    </row>
    <row r="759" spans="1:2" x14ac:dyDescent="0.35">
      <c r="A759" s="32" t="s">
        <v>660</v>
      </c>
      <c r="B759" s="32"/>
    </row>
    <row r="760" spans="1:2" x14ac:dyDescent="0.35">
      <c r="A760" s="32" t="s">
        <v>661</v>
      </c>
      <c r="B760" s="32"/>
    </row>
    <row r="761" spans="1:2" x14ac:dyDescent="0.35">
      <c r="A761" s="32" t="s">
        <v>662</v>
      </c>
      <c r="B761" s="32"/>
    </row>
    <row r="762" spans="1:2" x14ac:dyDescent="0.35">
      <c r="A762" s="32" t="s">
        <v>663</v>
      </c>
      <c r="B762" s="32"/>
    </row>
    <row r="763" spans="1:2" x14ac:dyDescent="0.35">
      <c r="A763" s="32" t="s">
        <v>664</v>
      </c>
      <c r="B763" s="32"/>
    </row>
    <row r="764" spans="1:2" x14ac:dyDescent="0.35">
      <c r="A764" s="32" t="s">
        <v>665</v>
      </c>
      <c r="B764" s="32"/>
    </row>
    <row r="765" spans="1:2" x14ac:dyDescent="0.35">
      <c r="A765" s="32" t="s">
        <v>666</v>
      </c>
      <c r="B765" s="32"/>
    </row>
    <row r="766" spans="1:2" x14ac:dyDescent="0.35">
      <c r="A766" s="32" t="s">
        <v>667</v>
      </c>
      <c r="B766" s="32"/>
    </row>
    <row r="767" spans="1:2" x14ac:dyDescent="0.35">
      <c r="A767" s="32" t="s">
        <v>668</v>
      </c>
      <c r="B767" s="32"/>
    </row>
    <row r="768" spans="1:2" x14ac:dyDescent="0.35">
      <c r="A768" s="32" t="s">
        <v>669</v>
      </c>
      <c r="B768" s="32"/>
    </row>
    <row r="769" spans="1:2" x14ac:dyDescent="0.35">
      <c r="A769" s="32" t="s">
        <v>670</v>
      </c>
      <c r="B769" s="32"/>
    </row>
    <row r="770" spans="1:2" x14ac:dyDescent="0.35">
      <c r="A770" s="32" t="s">
        <v>671</v>
      </c>
      <c r="B770" s="32"/>
    </row>
    <row r="771" spans="1:2" x14ac:dyDescent="0.35">
      <c r="A771" s="32" t="s">
        <v>672</v>
      </c>
      <c r="B771" s="32"/>
    </row>
    <row r="772" spans="1:2" x14ac:dyDescent="0.35">
      <c r="A772" s="32" t="s">
        <v>673</v>
      </c>
      <c r="B772" s="32"/>
    </row>
    <row r="773" spans="1:2" x14ac:dyDescent="0.35">
      <c r="A773" s="32" t="s">
        <v>674</v>
      </c>
      <c r="B773" s="32"/>
    </row>
    <row r="774" spans="1:2" x14ac:dyDescent="0.35">
      <c r="A774" s="32" t="s">
        <v>675</v>
      </c>
      <c r="B774" s="32"/>
    </row>
    <row r="775" spans="1:2" x14ac:dyDescent="0.35">
      <c r="A775" s="32" t="s">
        <v>676</v>
      </c>
      <c r="B775" s="32"/>
    </row>
    <row r="776" spans="1:2" x14ac:dyDescent="0.35">
      <c r="A776" s="32" t="s">
        <v>677</v>
      </c>
      <c r="B776" s="32"/>
    </row>
    <row r="777" spans="1:2" x14ac:dyDescent="0.35">
      <c r="A777" s="32" t="s">
        <v>678</v>
      </c>
      <c r="B777" s="32"/>
    </row>
    <row r="778" spans="1:2" x14ac:dyDescent="0.35">
      <c r="A778" s="32" t="s">
        <v>679</v>
      </c>
      <c r="B778" s="32"/>
    </row>
    <row r="779" spans="1:2" x14ac:dyDescent="0.35">
      <c r="A779" s="32" t="s">
        <v>680</v>
      </c>
      <c r="B779" s="32"/>
    </row>
    <row r="780" spans="1:2" x14ac:dyDescent="0.35">
      <c r="A780" s="32" t="s">
        <v>681</v>
      </c>
      <c r="B780" s="32"/>
    </row>
    <row r="781" spans="1:2" x14ac:dyDescent="0.35">
      <c r="A781" s="32" t="s">
        <v>682</v>
      </c>
      <c r="B781" s="32"/>
    </row>
    <row r="782" spans="1:2" x14ac:dyDescent="0.35">
      <c r="A782" s="32" t="s">
        <v>683</v>
      </c>
      <c r="B782" s="32"/>
    </row>
    <row r="783" spans="1:2" x14ac:dyDescent="0.35">
      <c r="A783" s="32" t="s">
        <v>684</v>
      </c>
      <c r="B783" s="32"/>
    </row>
    <row r="784" spans="1:2" x14ac:dyDescent="0.35">
      <c r="A784" s="32" t="s">
        <v>685</v>
      </c>
      <c r="B784" s="32"/>
    </row>
    <row r="785" spans="1:2" x14ac:dyDescent="0.35">
      <c r="A785" s="32" t="s">
        <v>686</v>
      </c>
      <c r="B785" s="32"/>
    </row>
    <row r="786" spans="1:2" x14ac:dyDescent="0.35">
      <c r="A786" s="32" t="s">
        <v>687</v>
      </c>
      <c r="B786" s="32"/>
    </row>
    <row r="787" spans="1:2" x14ac:dyDescent="0.35">
      <c r="A787" s="32" t="s">
        <v>688</v>
      </c>
      <c r="B787" s="32"/>
    </row>
    <row r="788" spans="1:2" x14ac:dyDescent="0.35">
      <c r="A788" s="32" t="s">
        <v>689</v>
      </c>
      <c r="B788" s="32"/>
    </row>
    <row r="789" spans="1:2" x14ac:dyDescent="0.35">
      <c r="A789" s="32" t="s">
        <v>690</v>
      </c>
      <c r="B789" s="32"/>
    </row>
    <row r="790" spans="1:2" x14ac:dyDescent="0.35">
      <c r="A790" s="32" t="s">
        <v>691</v>
      </c>
      <c r="B790" s="32"/>
    </row>
    <row r="791" spans="1:2" x14ac:dyDescent="0.35">
      <c r="A791" s="32" t="s">
        <v>692</v>
      </c>
      <c r="B791" s="32"/>
    </row>
    <row r="792" spans="1:2" x14ac:dyDescent="0.35">
      <c r="A792" s="32" t="s">
        <v>693</v>
      </c>
      <c r="B792" s="32"/>
    </row>
    <row r="793" spans="1:2" x14ac:dyDescent="0.35">
      <c r="A793" s="32" t="s">
        <v>694</v>
      </c>
      <c r="B793" s="32"/>
    </row>
    <row r="794" spans="1:2" x14ac:dyDescent="0.35">
      <c r="A794" s="32" t="s">
        <v>695</v>
      </c>
      <c r="B794" s="32"/>
    </row>
    <row r="795" spans="1:2" x14ac:dyDescent="0.35">
      <c r="A795" s="32" t="s">
        <v>696</v>
      </c>
      <c r="B795" s="32"/>
    </row>
    <row r="796" spans="1:2" x14ac:dyDescent="0.35">
      <c r="A796" s="32" t="s">
        <v>697</v>
      </c>
      <c r="B796" s="32"/>
    </row>
    <row r="797" spans="1:2" x14ac:dyDescent="0.35">
      <c r="A797" s="32" t="s">
        <v>698</v>
      </c>
      <c r="B797" s="32"/>
    </row>
    <row r="798" spans="1:2" x14ac:dyDescent="0.35">
      <c r="A798" s="32" t="s">
        <v>699</v>
      </c>
      <c r="B798" s="32"/>
    </row>
    <row r="799" spans="1:2" x14ac:dyDescent="0.35">
      <c r="A799" s="32" t="s">
        <v>700</v>
      </c>
      <c r="B799" s="32"/>
    </row>
    <row r="800" spans="1:2" x14ac:dyDescent="0.35">
      <c r="A800" s="32" t="s">
        <v>701</v>
      </c>
      <c r="B800" s="32"/>
    </row>
    <row r="801" spans="1:2" x14ac:dyDescent="0.35">
      <c r="A801" s="32" t="s">
        <v>702</v>
      </c>
      <c r="B801" s="32"/>
    </row>
    <row r="802" spans="1:2" x14ac:dyDescent="0.35">
      <c r="A802" s="32" t="s">
        <v>703</v>
      </c>
      <c r="B802" s="32"/>
    </row>
    <row r="803" spans="1:2" x14ac:dyDescent="0.35">
      <c r="A803" s="32" t="s">
        <v>704</v>
      </c>
      <c r="B803" s="32"/>
    </row>
    <row r="804" spans="1:2" x14ac:dyDescent="0.35">
      <c r="A804" s="32" t="s">
        <v>705</v>
      </c>
      <c r="B804" s="32"/>
    </row>
    <row r="805" spans="1:2" x14ac:dyDescent="0.35">
      <c r="A805" s="32" t="s">
        <v>706</v>
      </c>
      <c r="B805" s="32"/>
    </row>
    <row r="806" spans="1:2" x14ac:dyDescent="0.35">
      <c r="A806" s="32" t="s">
        <v>707</v>
      </c>
      <c r="B806" s="32"/>
    </row>
    <row r="807" spans="1:2" x14ac:dyDescent="0.35">
      <c r="A807" s="32" t="s">
        <v>708</v>
      </c>
      <c r="B807" s="32"/>
    </row>
    <row r="808" spans="1:2" x14ac:dyDescent="0.35">
      <c r="A808" s="32" t="s">
        <v>709</v>
      </c>
      <c r="B808" s="32"/>
    </row>
    <row r="809" spans="1:2" x14ac:dyDescent="0.35">
      <c r="A809" s="32" t="s">
        <v>710</v>
      </c>
      <c r="B809" s="32"/>
    </row>
    <row r="810" spans="1:2" x14ac:dyDescent="0.35">
      <c r="A810" s="32" t="s">
        <v>711</v>
      </c>
      <c r="B810" s="32"/>
    </row>
    <row r="811" spans="1:2" x14ac:dyDescent="0.35">
      <c r="A811" s="32" t="s">
        <v>712</v>
      </c>
      <c r="B811" s="32"/>
    </row>
    <row r="812" spans="1:2" x14ac:dyDescent="0.35">
      <c r="A812" s="32" t="s">
        <v>713</v>
      </c>
      <c r="B812" s="32"/>
    </row>
    <row r="813" spans="1:2" x14ac:dyDescent="0.35">
      <c r="A813" s="32" t="s">
        <v>714</v>
      </c>
      <c r="B813" s="32"/>
    </row>
    <row r="814" spans="1:2" x14ac:dyDescent="0.35">
      <c r="A814" s="32" t="s">
        <v>715</v>
      </c>
      <c r="B814" s="32"/>
    </row>
    <row r="815" spans="1:2" x14ac:dyDescent="0.35">
      <c r="A815" s="32" t="s">
        <v>716</v>
      </c>
      <c r="B815" s="32"/>
    </row>
    <row r="816" spans="1:2" x14ac:dyDescent="0.35">
      <c r="A816" s="32" t="s">
        <v>717</v>
      </c>
      <c r="B816" s="32"/>
    </row>
    <row r="817" spans="1:2" x14ac:dyDescent="0.35">
      <c r="A817" s="32" t="s">
        <v>718</v>
      </c>
      <c r="B817" s="32"/>
    </row>
    <row r="818" spans="1:2" x14ac:dyDescent="0.35">
      <c r="A818" s="32" t="s">
        <v>719</v>
      </c>
      <c r="B818" s="32"/>
    </row>
    <row r="819" spans="1:2" x14ac:dyDescent="0.35">
      <c r="A819" s="32" t="s">
        <v>720</v>
      </c>
      <c r="B819" s="32"/>
    </row>
    <row r="820" spans="1:2" x14ac:dyDescent="0.35">
      <c r="A820" s="32" t="s">
        <v>721</v>
      </c>
      <c r="B820" s="32"/>
    </row>
    <row r="821" spans="1:2" x14ac:dyDescent="0.35">
      <c r="A821" s="32" t="s">
        <v>722</v>
      </c>
      <c r="B821" s="32"/>
    </row>
    <row r="822" spans="1:2" x14ac:dyDescent="0.35">
      <c r="A822" s="32" t="s">
        <v>723</v>
      </c>
      <c r="B822" s="32"/>
    </row>
    <row r="823" spans="1:2" x14ac:dyDescent="0.35">
      <c r="A823" s="32" t="s">
        <v>724</v>
      </c>
      <c r="B823" s="32"/>
    </row>
    <row r="824" spans="1:2" x14ac:dyDescent="0.35">
      <c r="A824" s="32" t="s">
        <v>725</v>
      </c>
      <c r="B824" s="32"/>
    </row>
    <row r="825" spans="1:2" x14ac:dyDescent="0.35">
      <c r="A825" s="32" t="s">
        <v>726</v>
      </c>
      <c r="B825" s="32"/>
    </row>
    <row r="826" spans="1:2" x14ac:dyDescent="0.35">
      <c r="A826" s="32" t="s">
        <v>727</v>
      </c>
      <c r="B826" s="32"/>
    </row>
    <row r="827" spans="1:2" x14ac:dyDescent="0.35">
      <c r="A827" s="32" t="s">
        <v>728</v>
      </c>
      <c r="B827" s="32"/>
    </row>
    <row r="828" spans="1:2" x14ac:dyDescent="0.35">
      <c r="A828" s="32" t="s">
        <v>729</v>
      </c>
      <c r="B828" s="32"/>
    </row>
    <row r="829" spans="1:2" x14ac:dyDescent="0.35">
      <c r="A829" s="32" t="s">
        <v>730</v>
      </c>
      <c r="B829" s="32"/>
    </row>
    <row r="830" spans="1:2" x14ac:dyDescent="0.35">
      <c r="A830" s="32" t="s">
        <v>731</v>
      </c>
      <c r="B830" s="32"/>
    </row>
    <row r="831" spans="1:2" x14ac:dyDescent="0.35">
      <c r="A831" s="32" t="s">
        <v>732</v>
      </c>
      <c r="B831" s="32"/>
    </row>
    <row r="832" spans="1:2" x14ac:dyDescent="0.35">
      <c r="A832" s="32" t="s">
        <v>733</v>
      </c>
      <c r="B832" s="32"/>
    </row>
    <row r="833" spans="1:2" x14ac:dyDescent="0.35">
      <c r="A833" s="32" t="s">
        <v>734</v>
      </c>
      <c r="B833" s="32"/>
    </row>
    <row r="834" spans="1:2" x14ac:dyDescent="0.35">
      <c r="A834" s="32" t="s">
        <v>735</v>
      </c>
      <c r="B834" s="32"/>
    </row>
    <row r="835" spans="1:2" x14ac:dyDescent="0.35">
      <c r="A835" s="32" t="s">
        <v>736</v>
      </c>
      <c r="B835" s="32"/>
    </row>
    <row r="836" spans="1:2" x14ac:dyDescent="0.35">
      <c r="A836" s="32" t="s">
        <v>737</v>
      </c>
      <c r="B836" s="32"/>
    </row>
    <row r="837" spans="1:2" x14ac:dyDescent="0.35">
      <c r="A837" s="32" t="s">
        <v>738</v>
      </c>
      <c r="B837" s="32"/>
    </row>
    <row r="838" spans="1:2" x14ac:dyDescent="0.35">
      <c r="A838" s="32" t="s">
        <v>739</v>
      </c>
      <c r="B838" s="32"/>
    </row>
    <row r="839" spans="1:2" x14ac:dyDescent="0.35">
      <c r="A839" s="32" t="s">
        <v>740</v>
      </c>
      <c r="B839" s="32"/>
    </row>
    <row r="840" spans="1:2" x14ac:dyDescent="0.35">
      <c r="A840" s="32" t="s">
        <v>741</v>
      </c>
      <c r="B840" s="32"/>
    </row>
    <row r="841" spans="1:2" x14ac:dyDescent="0.35">
      <c r="A841" s="32" t="s">
        <v>742</v>
      </c>
      <c r="B841" s="32"/>
    </row>
    <row r="842" spans="1:2" x14ac:dyDescent="0.35">
      <c r="A842" s="32" t="s">
        <v>743</v>
      </c>
      <c r="B842" s="32"/>
    </row>
    <row r="843" spans="1:2" x14ac:dyDescent="0.35">
      <c r="A843" s="32" t="s">
        <v>744</v>
      </c>
      <c r="B843" s="32"/>
    </row>
    <row r="844" spans="1:2" x14ac:dyDescent="0.35">
      <c r="A844" s="32" t="s">
        <v>745</v>
      </c>
      <c r="B844" s="32"/>
    </row>
    <row r="845" spans="1:2" x14ac:dyDescent="0.35">
      <c r="A845" s="32" t="s">
        <v>746</v>
      </c>
      <c r="B845" s="32"/>
    </row>
    <row r="846" spans="1:2" x14ac:dyDescent="0.35">
      <c r="A846" s="32" t="s">
        <v>747</v>
      </c>
      <c r="B846" s="32"/>
    </row>
    <row r="847" spans="1:2" x14ac:dyDescent="0.35">
      <c r="A847" s="32" t="s">
        <v>748</v>
      </c>
      <c r="B847" s="32"/>
    </row>
    <row r="848" spans="1:2" x14ac:dyDescent="0.35">
      <c r="A848" s="32" t="s">
        <v>749</v>
      </c>
      <c r="B848" s="32"/>
    </row>
    <row r="849" spans="1:2" x14ac:dyDescent="0.35">
      <c r="A849" s="32" t="s">
        <v>750</v>
      </c>
      <c r="B849" s="32"/>
    </row>
    <row r="850" spans="1:2" x14ac:dyDescent="0.35">
      <c r="A850" s="32" t="s">
        <v>751</v>
      </c>
      <c r="B850" s="32"/>
    </row>
    <row r="851" spans="1:2" x14ac:dyDescent="0.35">
      <c r="A851" s="32" t="s">
        <v>752</v>
      </c>
      <c r="B851" s="32"/>
    </row>
    <row r="852" spans="1:2" x14ac:dyDescent="0.35">
      <c r="A852" s="32" t="s">
        <v>753</v>
      </c>
      <c r="B852" s="32"/>
    </row>
    <row r="853" spans="1:2" x14ac:dyDescent="0.35">
      <c r="A853" s="32" t="s">
        <v>754</v>
      </c>
      <c r="B853" s="32"/>
    </row>
    <row r="854" spans="1:2" x14ac:dyDescent="0.35">
      <c r="A854" s="32" t="s">
        <v>755</v>
      </c>
      <c r="B854" s="32"/>
    </row>
    <row r="855" spans="1:2" x14ac:dyDescent="0.35">
      <c r="A855" s="32" t="s">
        <v>756</v>
      </c>
      <c r="B855" s="32"/>
    </row>
    <row r="856" spans="1:2" x14ac:dyDescent="0.35">
      <c r="A856" s="32" t="s">
        <v>757</v>
      </c>
      <c r="B856" s="32"/>
    </row>
    <row r="857" spans="1:2" x14ac:dyDescent="0.35">
      <c r="A857" s="32" t="s">
        <v>758</v>
      </c>
      <c r="B857" s="32"/>
    </row>
    <row r="858" spans="1:2" x14ac:dyDescent="0.35">
      <c r="A858" s="32" t="s">
        <v>759</v>
      </c>
      <c r="B858" s="32"/>
    </row>
    <row r="859" spans="1:2" x14ac:dyDescent="0.35">
      <c r="A859" s="32" t="s">
        <v>760</v>
      </c>
      <c r="B859" s="32"/>
    </row>
    <row r="860" spans="1:2" x14ac:dyDescent="0.35">
      <c r="A860" s="32" t="s">
        <v>761</v>
      </c>
      <c r="B860" s="32"/>
    </row>
    <row r="861" spans="1:2" x14ac:dyDescent="0.35">
      <c r="A861" s="32" t="s">
        <v>762</v>
      </c>
      <c r="B861" s="32"/>
    </row>
    <row r="862" spans="1:2" x14ac:dyDescent="0.35">
      <c r="A862" s="32" t="s">
        <v>763</v>
      </c>
      <c r="B862" s="32"/>
    </row>
    <row r="863" spans="1:2" x14ac:dyDescent="0.35">
      <c r="A863" s="32" t="s">
        <v>764</v>
      </c>
      <c r="B863" s="32"/>
    </row>
    <row r="864" spans="1:2" x14ac:dyDescent="0.35">
      <c r="A864" s="32" t="s">
        <v>765</v>
      </c>
      <c r="B864" s="32"/>
    </row>
    <row r="865" spans="1:2" x14ac:dyDescent="0.35">
      <c r="A865" s="32" t="s">
        <v>766</v>
      </c>
      <c r="B865" s="32"/>
    </row>
    <row r="866" spans="1:2" x14ac:dyDescent="0.35">
      <c r="A866" s="32" t="s">
        <v>767</v>
      </c>
      <c r="B866" s="32"/>
    </row>
    <row r="867" spans="1:2" x14ac:dyDescent="0.35">
      <c r="A867" s="32" t="s">
        <v>768</v>
      </c>
      <c r="B867" s="32"/>
    </row>
    <row r="868" spans="1:2" x14ac:dyDescent="0.35">
      <c r="A868" s="32" t="s">
        <v>769</v>
      </c>
      <c r="B868" s="32"/>
    </row>
    <row r="869" spans="1:2" x14ac:dyDescent="0.35">
      <c r="A869" s="32" t="s">
        <v>770</v>
      </c>
      <c r="B869" s="32"/>
    </row>
    <row r="870" spans="1:2" x14ac:dyDescent="0.35">
      <c r="A870" s="32" t="s">
        <v>771</v>
      </c>
      <c r="B870" s="32"/>
    </row>
    <row r="871" spans="1:2" x14ac:dyDescent="0.35">
      <c r="A871" s="32" t="s">
        <v>772</v>
      </c>
      <c r="B871" s="32"/>
    </row>
    <row r="872" spans="1:2" x14ac:dyDescent="0.35">
      <c r="A872" s="32" t="s">
        <v>773</v>
      </c>
      <c r="B872" s="32"/>
    </row>
    <row r="873" spans="1:2" x14ac:dyDescent="0.35">
      <c r="A873" s="32" t="s">
        <v>774</v>
      </c>
      <c r="B873" s="32"/>
    </row>
    <row r="874" spans="1:2" x14ac:dyDescent="0.35">
      <c r="A874" s="32" t="s">
        <v>775</v>
      </c>
      <c r="B874" s="32"/>
    </row>
    <row r="875" spans="1:2" x14ac:dyDescent="0.35">
      <c r="A875" s="32" t="s">
        <v>776</v>
      </c>
      <c r="B875" s="32"/>
    </row>
    <row r="876" spans="1:2" x14ac:dyDescent="0.35">
      <c r="A876" s="32" t="s">
        <v>777</v>
      </c>
      <c r="B876" s="32"/>
    </row>
    <row r="877" spans="1:2" x14ac:dyDescent="0.35">
      <c r="A877" s="32" t="s">
        <v>778</v>
      </c>
      <c r="B877" s="32"/>
    </row>
    <row r="878" spans="1:2" x14ac:dyDescent="0.35">
      <c r="A878" s="32" t="s">
        <v>779</v>
      </c>
      <c r="B878" s="32"/>
    </row>
    <row r="879" spans="1:2" x14ac:dyDescent="0.35">
      <c r="A879" s="32" t="s">
        <v>780</v>
      </c>
      <c r="B879" s="32"/>
    </row>
    <row r="880" spans="1:2" x14ac:dyDescent="0.35">
      <c r="A880" s="32" t="s">
        <v>781</v>
      </c>
      <c r="B880" s="32"/>
    </row>
    <row r="881" spans="1:2" x14ac:dyDescent="0.35">
      <c r="A881" s="32" t="s">
        <v>782</v>
      </c>
      <c r="B881" s="32"/>
    </row>
    <row r="882" spans="1:2" x14ac:dyDescent="0.35">
      <c r="A882" s="32" t="s">
        <v>783</v>
      </c>
      <c r="B882" s="32"/>
    </row>
    <row r="883" spans="1:2" x14ac:dyDescent="0.35">
      <c r="A883" s="32" t="s">
        <v>784</v>
      </c>
      <c r="B883" s="32"/>
    </row>
    <row r="884" spans="1:2" x14ac:dyDescent="0.35">
      <c r="A884" s="32" t="s">
        <v>785</v>
      </c>
      <c r="B884" s="32"/>
    </row>
    <row r="885" spans="1:2" x14ac:dyDescent="0.35">
      <c r="A885" s="32" t="s">
        <v>786</v>
      </c>
      <c r="B885" s="32"/>
    </row>
    <row r="886" spans="1:2" x14ac:dyDescent="0.35">
      <c r="A886" s="32" t="s">
        <v>787</v>
      </c>
      <c r="B886" s="32"/>
    </row>
    <row r="887" spans="1:2" x14ac:dyDescent="0.35">
      <c r="A887" s="32" t="s">
        <v>788</v>
      </c>
      <c r="B887" s="32"/>
    </row>
    <row r="888" spans="1:2" x14ac:dyDescent="0.35">
      <c r="A888" s="32" t="s">
        <v>789</v>
      </c>
      <c r="B888" s="32"/>
    </row>
    <row r="889" spans="1:2" x14ac:dyDescent="0.35">
      <c r="A889" s="32" t="s">
        <v>790</v>
      </c>
      <c r="B889" s="32"/>
    </row>
    <row r="890" spans="1:2" x14ac:dyDescent="0.35">
      <c r="A890" s="32" t="s">
        <v>791</v>
      </c>
      <c r="B890" s="32"/>
    </row>
    <row r="891" spans="1:2" x14ac:dyDescent="0.35">
      <c r="A891" s="32" t="s">
        <v>792</v>
      </c>
      <c r="B891" s="32"/>
    </row>
    <row r="892" spans="1:2" x14ac:dyDescent="0.35">
      <c r="A892" s="32" t="s">
        <v>793</v>
      </c>
      <c r="B892" s="32"/>
    </row>
    <row r="893" spans="1:2" x14ac:dyDescent="0.35">
      <c r="A893" s="32" t="s">
        <v>794</v>
      </c>
      <c r="B893" s="32"/>
    </row>
    <row r="894" spans="1:2" x14ac:dyDescent="0.35">
      <c r="A894" s="32" t="s">
        <v>795</v>
      </c>
      <c r="B894" s="32"/>
    </row>
    <row r="895" spans="1:2" x14ac:dyDescent="0.35">
      <c r="A895" s="32" t="s">
        <v>796</v>
      </c>
      <c r="B895" s="32"/>
    </row>
    <row r="896" spans="1:2" x14ac:dyDescent="0.35">
      <c r="A896" s="32" t="s">
        <v>797</v>
      </c>
      <c r="B896" s="32"/>
    </row>
    <row r="897" spans="1:2" x14ac:dyDescent="0.35">
      <c r="A897" s="32" t="s">
        <v>798</v>
      </c>
      <c r="B897" s="32"/>
    </row>
    <row r="898" spans="1:2" x14ac:dyDescent="0.35">
      <c r="A898" s="32" t="s">
        <v>799</v>
      </c>
      <c r="B898" s="32"/>
    </row>
    <row r="899" spans="1:2" x14ac:dyDescent="0.35">
      <c r="A899" s="32" t="s">
        <v>800</v>
      </c>
      <c r="B899" s="32"/>
    </row>
    <row r="900" spans="1:2" x14ac:dyDescent="0.35">
      <c r="A900" s="32" t="s">
        <v>801</v>
      </c>
      <c r="B900" s="32"/>
    </row>
    <row r="901" spans="1:2" x14ac:dyDescent="0.35">
      <c r="A901" s="32" t="s">
        <v>802</v>
      </c>
      <c r="B901" s="32"/>
    </row>
    <row r="902" spans="1:2" x14ac:dyDescent="0.35">
      <c r="A902" s="32" t="s">
        <v>803</v>
      </c>
      <c r="B902" s="32"/>
    </row>
    <row r="903" spans="1:2" x14ac:dyDescent="0.35">
      <c r="A903" s="32" t="s">
        <v>804</v>
      </c>
      <c r="B903" s="32"/>
    </row>
    <row r="904" spans="1:2" x14ac:dyDescent="0.35">
      <c r="A904" s="32" t="s">
        <v>805</v>
      </c>
      <c r="B904" s="32"/>
    </row>
    <row r="905" spans="1:2" x14ac:dyDescent="0.35">
      <c r="A905" s="32" t="s">
        <v>806</v>
      </c>
      <c r="B905" s="32"/>
    </row>
    <row r="906" spans="1:2" x14ac:dyDescent="0.35">
      <c r="A906" s="32" t="s">
        <v>807</v>
      </c>
      <c r="B906" s="32"/>
    </row>
    <row r="907" spans="1:2" x14ac:dyDescent="0.35">
      <c r="A907" s="32" t="s">
        <v>808</v>
      </c>
      <c r="B907" s="32"/>
    </row>
    <row r="908" spans="1:2" x14ac:dyDescent="0.35">
      <c r="A908" s="32" t="s">
        <v>809</v>
      </c>
      <c r="B908" s="32"/>
    </row>
    <row r="909" spans="1:2" x14ac:dyDescent="0.35">
      <c r="A909" s="32" t="s">
        <v>810</v>
      </c>
      <c r="B909" s="32"/>
    </row>
    <row r="910" spans="1:2" x14ac:dyDescent="0.35">
      <c r="A910" s="32" t="s">
        <v>811</v>
      </c>
      <c r="B910" s="32"/>
    </row>
    <row r="911" spans="1:2" x14ac:dyDescent="0.35">
      <c r="A911" s="32" t="s">
        <v>812</v>
      </c>
      <c r="B911" s="32"/>
    </row>
    <row r="912" spans="1:2" x14ac:dyDescent="0.35">
      <c r="A912" s="32" t="s">
        <v>813</v>
      </c>
      <c r="B912" s="32"/>
    </row>
    <row r="913" spans="1:2" x14ac:dyDescent="0.35">
      <c r="A913" s="32" t="s">
        <v>814</v>
      </c>
      <c r="B913" s="32"/>
    </row>
    <row r="914" spans="1:2" x14ac:dyDescent="0.35">
      <c r="A914" s="32" t="s">
        <v>815</v>
      </c>
      <c r="B914" s="32"/>
    </row>
    <row r="915" spans="1:2" x14ac:dyDescent="0.35">
      <c r="A915" s="32" t="s">
        <v>816</v>
      </c>
      <c r="B915" s="32"/>
    </row>
    <row r="916" spans="1:2" x14ac:dyDescent="0.35">
      <c r="A916" s="32" t="s">
        <v>817</v>
      </c>
      <c r="B916" s="32"/>
    </row>
    <row r="917" spans="1:2" x14ac:dyDescent="0.35">
      <c r="A917" s="32" t="s">
        <v>818</v>
      </c>
      <c r="B917" s="32"/>
    </row>
    <row r="918" spans="1:2" x14ac:dyDescent="0.35">
      <c r="A918" s="32" t="s">
        <v>819</v>
      </c>
      <c r="B918" s="32"/>
    </row>
    <row r="919" spans="1:2" x14ac:dyDescent="0.35">
      <c r="A919" s="32" t="s">
        <v>820</v>
      </c>
      <c r="B919" s="32"/>
    </row>
    <row r="920" spans="1:2" x14ac:dyDescent="0.35">
      <c r="A920" s="32" t="s">
        <v>821</v>
      </c>
      <c r="B920" s="32"/>
    </row>
    <row r="921" spans="1:2" x14ac:dyDescent="0.35">
      <c r="A921" s="32" t="s">
        <v>822</v>
      </c>
      <c r="B921" s="32"/>
    </row>
    <row r="922" spans="1:2" x14ac:dyDescent="0.35">
      <c r="A922" s="32" t="s">
        <v>823</v>
      </c>
      <c r="B922" s="32"/>
    </row>
    <row r="923" spans="1:2" x14ac:dyDescent="0.35">
      <c r="A923" s="32" t="s">
        <v>824</v>
      </c>
      <c r="B923" s="32"/>
    </row>
    <row r="924" spans="1:2" x14ac:dyDescent="0.35">
      <c r="A924" s="32" t="s">
        <v>825</v>
      </c>
      <c r="B924" s="32"/>
    </row>
    <row r="925" spans="1:2" x14ac:dyDescent="0.35">
      <c r="A925" s="32" t="s">
        <v>826</v>
      </c>
      <c r="B925" s="32"/>
    </row>
    <row r="926" spans="1:2" x14ac:dyDescent="0.35">
      <c r="A926" s="32" t="s">
        <v>827</v>
      </c>
      <c r="B926" s="32"/>
    </row>
    <row r="927" spans="1:2" x14ac:dyDescent="0.35">
      <c r="A927" s="32" t="s">
        <v>828</v>
      </c>
      <c r="B927" s="32"/>
    </row>
    <row r="928" spans="1:2" x14ac:dyDescent="0.35">
      <c r="A928" s="32" t="s">
        <v>829</v>
      </c>
      <c r="B928" s="32"/>
    </row>
    <row r="929" spans="1:2" x14ac:dyDescent="0.35">
      <c r="A929" s="32" t="s">
        <v>830</v>
      </c>
      <c r="B929" s="32"/>
    </row>
    <row r="930" spans="1:2" x14ac:dyDescent="0.35">
      <c r="A930" s="32" t="s">
        <v>831</v>
      </c>
      <c r="B930" s="32"/>
    </row>
    <row r="931" spans="1:2" x14ac:dyDescent="0.35">
      <c r="A931" s="32" t="s">
        <v>832</v>
      </c>
      <c r="B931" s="32"/>
    </row>
    <row r="932" spans="1:2" x14ac:dyDescent="0.35">
      <c r="A932" s="32" t="s">
        <v>833</v>
      </c>
      <c r="B932" s="32"/>
    </row>
    <row r="933" spans="1:2" x14ac:dyDescent="0.35">
      <c r="A933" s="32" t="s">
        <v>834</v>
      </c>
      <c r="B933" s="32"/>
    </row>
    <row r="934" spans="1:2" x14ac:dyDescent="0.35">
      <c r="A934" s="32" t="s">
        <v>835</v>
      </c>
      <c r="B934" s="32"/>
    </row>
    <row r="935" spans="1:2" x14ac:dyDescent="0.35">
      <c r="A935" s="32" t="s">
        <v>836</v>
      </c>
      <c r="B935" s="32"/>
    </row>
    <row r="936" spans="1:2" x14ac:dyDescent="0.35">
      <c r="A936" s="32" t="s">
        <v>837</v>
      </c>
      <c r="B936" s="32"/>
    </row>
    <row r="937" spans="1:2" x14ac:dyDescent="0.35">
      <c r="A937" s="32" t="s">
        <v>838</v>
      </c>
      <c r="B937" s="32"/>
    </row>
    <row r="938" spans="1:2" x14ac:dyDescent="0.35">
      <c r="A938" s="32" t="s">
        <v>839</v>
      </c>
      <c r="B938" s="32"/>
    </row>
    <row r="939" spans="1:2" x14ac:dyDescent="0.35">
      <c r="A939" s="32" t="s">
        <v>840</v>
      </c>
      <c r="B939" s="32"/>
    </row>
    <row r="940" spans="1:2" x14ac:dyDescent="0.35">
      <c r="A940" s="32" t="s">
        <v>841</v>
      </c>
      <c r="B940" s="32"/>
    </row>
    <row r="941" spans="1:2" x14ac:dyDescent="0.35">
      <c r="A941" s="32" t="s">
        <v>842</v>
      </c>
      <c r="B941" s="32"/>
    </row>
    <row r="942" spans="1:2" x14ac:dyDescent="0.35">
      <c r="A942" s="32" t="s">
        <v>843</v>
      </c>
      <c r="B942" s="32"/>
    </row>
    <row r="943" spans="1:2" x14ac:dyDescent="0.35">
      <c r="A943" s="32" t="s">
        <v>844</v>
      </c>
      <c r="B943" s="32"/>
    </row>
    <row r="944" spans="1:2" x14ac:dyDescent="0.35">
      <c r="A944" s="32" t="s">
        <v>845</v>
      </c>
      <c r="B944" s="32"/>
    </row>
    <row r="945" spans="1:2" x14ac:dyDescent="0.35">
      <c r="A945" s="32" t="s">
        <v>846</v>
      </c>
      <c r="B945" s="32"/>
    </row>
    <row r="946" spans="1:2" x14ac:dyDescent="0.35">
      <c r="A946" s="32" t="s">
        <v>847</v>
      </c>
      <c r="B946" s="32"/>
    </row>
    <row r="947" spans="1:2" x14ac:dyDescent="0.35">
      <c r="A947" s="32" t="s">
        <v>848</v>
      </c>
      <c r="B947" s="32"/>
    </row>
    <row r="948" spans="1:2" x14ac:dyDescent="0.35">
      <c r="A948" s="32" t="s">
        <v>849</v>
      </c>
      <c r="B948" s="32"/>
    </row>
    <row r="949" spans="1:2" x14ac:dyDescent="0.35">
      <c r="A949" s="32" t="s">
        <v>850</v>
      </c>
      <c r="B949" s="32"/>
    </row>
    <row r="950" spans="1:2" x14ac:dyDescent="0.35">
      <c r="A950" s="32" t="s">
        <v>851</v>
      </c>
      <c r="B950" s="32"/>
    </row>
    <row r="951" spans="1:2" x14ac:dyDescent="0.35">
      <c r="A951" s="32" t="s">
        <v>852</v>
      </c>
      <c r="B951" s="32"/>
    </row>
    <row r="952" spans="1:2" x14ac:dyDescent="0.35">
      <c r="A952" s="32" t="s">
        <v>853</v>
      </c>
      <c r="B952" s="32"/>
    </row>
    <row r="953" spans="1:2" x14ac:dyDescent="0.35">
      <c r="A953" s="32" t="s">
        <v>854</v>
      </c>
      <c r="B953" s="32"/>
    </row>
    <row r="954" spans="1:2" x14ac:dyDescent="0.35">
      <c r="A954" s="32" t="s">
        <v>855</v>
      </c>
      <c r="B954" s="32"/>
    </row>
    <row r="955" spans="1:2" x14ac:dyDescent="0.35">
      <c r="A955" s="32" t="s">
        <v>856</v>
      </c>
      <c r="B955" s="32"/>
    </row>
    <row r="956" spans="1:2" x14ac:dyDescent="0.35">
      <c r="A956" s="32" t="s">
        <v>857</v>
      </c>
      <c r="B956" s="32"/>
    </row>
    <row r="957" spans="1:2" x14ac:dyDescent="0.35">
      <c r="A957" s="32" t="s">
        <v>858</v>
      </c>
      <c r="B957" s="32"/>
    </row>
    <row r="958" spans="1:2" x14ac:dyDescent="0.35">
      <c r="A958" s="32" t="s">
        <v>859</v>
      </c>
      <c r="B958" s="32"/>
    </row>
    <row r="959" spans="1:2" x14ac:dyDescent="0.35">
      <c r="A959" s="32" t="s">
        <v>860</v>
      </c>
      <c r="B959" s="32"/>
    </row>
    <row r="960" spans="1:2" x14ac:dyDescent="0.35">
      <c r="A960" s="32" t="s">
        <v>861</v>
      </c>
      <c r="B960" s="32"/>
    </row>
    <row r="961" spans="1:2" x14ac:dyDescent="0.35">
      <c r="A961" s="32" t="s">
        <v>862</v>
      </c>
      <c r="B961" s="32"/>
    </row>
    <row r="962" spans="1:2" x14ac:dyDescent="0.35">
      <c r="A962" s="32" t="s">
        <v>863</v>
      </c>
      <c r="B962" s="32"/>
    </row>
    <row r="963" spans="1:2" x14ac:dyDescent="0.35">
      <c r="A963" s="32" t="s">
        <v>864</v>
      </c>
      <c r="B963" s="32"/>
    </row>
    <row r="964" spans="1:2" x14ac:dyDescent="0.35">
      <c r="A964" s="32" t="s">
        <v>865</v>
      </c>
      <c r="B964" s="32"/>
    </row>
    <row r="965" spans="1:2" x14ac:dyDescent="0.35">
      <c r="A965" s="32" t="s">
        <v>866</v>
      </c>
      <c r="B965" s="32"/>
    </row>
    <row r="966" spans="1:2" x14ac:dyDescent="0.35">
      <c r="A966" s="32" t="s">
        <v>867</v>
      </c>
      <c r="B966" s="32"/>
    </row>
    <row r="967" spans="1:2" x14ac:dyDescent="0.35">
      <c r="A967" s="32" t="s">
        <v>868</v>
      </c>
      <c r="B967" s="32"/>
    </row>
    <row r="968" spans="1:2" x14ac:dyDescent="0.35">
      <c r="A968" s="32" t="s">
        <v>869</v>
      </c>
      <c r="B968" s="32"/>
    </row>
    <row r="969" spans="1:2" x14ac:dyDescent="0.35">
      <c r="A969" s="32" t="s">
        <v>870</v>
      </c>
      <c r="B969" s="32"/>
    </row>
    <row r="970" spans="1:2" x14ac:dyDescent="0.35">
      <c r="A970" s="32" t="s">
        <v>871</v>
      </c>
      <c r="B970" s="32"/>
    </row>
    <row r="971" spans="1:2" x14ac:dyDescent="0.35">
      <c r="A971" s="32" t="s">
        <v>872</v>
      </c>
      <c r="B971" s="32"/>
    </row>
    <row r="972" spans="1:2" x14ac:dyDescent="0.35">
      <c r="A972" s="32" t="s">
        <v>873</v>
      </c>
      <c r="B972" s="32"/>
    </row>
    <row r="973" spans="1:2" x14ac:dyDescent="0.35">
      <c r="A973" s="32" t="s">
        <v>874</v>
      </c>
      <c r="B973" s="32"/>
    </row>
    <row r="974" spans="1:2" x14ac:dyDescent="0.35">
      <c r="A974" s="32" t="s">
        <v>875</v>
      </c>
      <c r="B974" s="32"/>
    </row>
    <row r="975" spans="1:2" x14ac:dyDescent="0.35">
      <c r="A975" s="32" t="s">
        <v>876</v>
      </c>
      <c r="B975" s="32"/>
    </row>
    <row r="976" spans="1:2" x14ac:dyDescent="0.35">
      <c r="A976" s="32" t="s">
        <v>877</v>
      </c>
      <c r="B976" s="32"/>
    </row>
    <row r="977" spans="1:2" x14ac:dyDescent="0.35">
      <c r="A977" s="32" t="s">
        <v>878</v>
      </c>
      <c r="B977" s="32"/>
    </row>
    <row r="978" spans="1:2" x14ac:dyDescent="0.35">
      <c r="A978" s="32" t="s">
        <v>879</v>
      </c>
      <c r="B978" s="32"/>
    </row>
    <row r="979" spans="1:2" x14ac:dyDescent="0.35">
      <c r="A979" s="32" t="s">
        <v>880</v>
      </c>
      <c r="B979" s="32"/>
    </row>
    <row r="980" spans="1:2" x14ac:dyDescent="0.35">
      <c r="A980" s="32" t="s">
        <v>881</v>
      </c>
      <c r="B980" s="32"/>
    </row>
    <row r="981" spans="1:2" x14ac:dyDescent="0.35">
      <c r="A981" s="32" t="s">
        <v>882</v>
      </c>
      <c r="B981" s="32"/>
    </row>
    <row r="982" spans="1:2" x14ac:dyDescent="0.35">
      <c r="A982" s="32" t="s">
        <v>883</v>
      </c>
      <c r="B982" s="32"/>
    </row>
    <row r="983" spans="1:2" x14ac:dyDescent="0.35">
      <c r="A983" s="32" t="s">
        <v>884</v>
      </c>
      <c r="B983" s="32"/>
    </row>
    <row r="984" spans="1:2" x14ac:dyDescent="0.35">
      <c r="A984" s="32" t="s">
        <v>885</v>
      </c>
      <c r="B984" s="32"/>
    </row>
    <row r="985" spans="1:2" x14ac:dyDescent="0.35">
      <c r="A985" s="32" t="s">
        <v>886</v>
      </c>
      <c r="B985" s="32"/>
    </row>
    <row r="986" spans="1:2" x14ac:dyDescent="0.35">
      <c r="A986" s="32" t="s">
        <v>887</v>
      </c>
      <c r="B986" s="32"/>
    </row>
    <row r="987" spans="1:2" x14ac:dyDescent="0.35">
      <c r="A987" s="32" t="s">
        <v>888</v>
      </c>
      <c r="B987" s="32"/>
    </row>
    <row r="988" spans="1:2" x14ac:dyDescent="0.35">
      <c r="A988" s="32" t="s">
        <v>889</v>
      </c>
      <c r="B988" s="32"/>
    </row>
    <row r="989" spans="1:2" x14ac:dyDescent="0.35">
      <c r="A989" s="32" t="s">
        <v>890</v>
      </c>
      <c r="B989" s="32"/>
    </row>
    <row r="990" spans="1:2" x14ac:dyDescent="0.35">
      <c r="A990" s="32" t="s">
        <v>891</v>
      </c>
      <c r="B990" s="32"/>
    </row>
    <row r="991" spans="1:2" x14ac:dyDescent="0.35">
      <c r="A991" s="32" t="s">
        <v>892</v>
      </c>
      <c r="B991" s="32"/>
    </row>
    <row r="992" spans="1:2" x14ac:dyDescent="0.35">
      <c r="A992" s="32" t="s">
        <v>893</v>
      </c>
      <c r="B992" s="32"/>
    </row>
    <row r="993" spans="1:2" x14ac:dyDescent="0.35">
      <c r="A993" s="32" t="s">
        <v>894</v>
      </c>
      <c r="B993" s="32"/>
    </row>
    <row r="994" spans="1:2" x14ac:dyDescent="0.35">
      <c r="A994" s="32" t="s">
        <v>895</v>
      </c>
      <c r="B994" s="32"/>
    </row>
    <row r="995" spans="1:2" x14ac:dyDescent="0.35">
      <c r="A995" s="32" t="s">
        <v>896</v>
      </c>
      <c r="B995" s="32"/>
    </row>
    <row r="996" spans="1:2" x14ac:dyDescent="0.35">
      <c r="A996" s="32" t="s">
        <v>897</v>
      </c>
      <c r="B996" s="32"/>
    </row>
    <row r="997" spans="1:2" x14ac:dyDescent="0.35">
      <c r="A997" s="32" t="s">
        <v>898</v>
      </c>
      <c r="B997" s="32"/>
    </row>
    <row r="998" spans="1:2" x14ac:dyDescent="0.35">
      <c r="A998" s="32" t="s">
        <v>899</v>
      </c>
      <c r="B998" s="32"/>
    </row>
    <row r="999" spans="1:2" x14ac:dyDescent="0.35">
      <c r="A999" s="32" t="s">
        <v>900</v>
      </c>
      <c r="B999" s="32"/>
    </row>
    <row r="1000" spans="1:2" x14ac:dyDescent="0.35">
      <c r="A1000" s="32" t="s">
        <v>901</v>
      </c>
      <c r="B1000" s="32"/>
    </row>
    <row r="1001" spans="1:2" x14ac:dyDescent="0.35">
      <c r="A1001" s="32" t="s">
        <v>902</v>
      </c>
      <c r="B1001" s="32"/>
    </row>
    <row r="1002" spans="1:2" x14ac:dyDescent="0.35">
      <c r="A1002" s="32" t="s">
        <v>903</v>
      </c>
      <c r="B1002" s="32"/>
    </row>
    <row r="1003" spans="1:2" x14ac:dyDescent="0.35">
      <c r="A1003" s="32" t="s">
        <v>904</v>
      </c>
      <c r="B1003" s="32"/>
    </row>
    <row r="1004" spans="1:2" x14ac:dyDescent="0.35">
      <c r="A1004" s="32" t="s">
        <v>905</v>
      </c>
      <c r="B1004" s="32"/>
    </row>
    <row r="1005" spans="1:2" x14ac:dyDescent="0.35">
      <c r="A1005" s="32" t="s">
        <v>906</v>
      </c>
      <c r="B1005" s="32"/>
    </row>
    <row r="1006" spans="1:2" x14ac:dyDescent="0.35">
      <c r="A1006" s="32" t="s">
        <v>907</v>
      </c>
      <c r="B1006" s="32"/>
    </row>
    <row r="1007" spans="1:2" x14ac:dyDescent="0.35">
      <c r="A1007" s="32" t="s">
        <v>908</v>
      </c>
      <c r="B1007" s="32"/>
    </row>
    <row r="1008" spans="1:2" x14ac:dyDescent="0.35">
      <c r="A1008" s="32" t="s">
        <v>909</v>
      </c>
      <c r="B1008" s="32"/>
    </row>
    <row r="1009" spans="1:2" x14ac:dyDescent="0.35">
      <c r="A1009" s="32" t="s">
        <v>910</v>
      </c>
      <c r="B1009" s="32"/>
    </row>
    <row r="1010" spans="1:2" x14ac:dyDescent="0.35">
      <c r="A1010" s="32" t="s">
        <v>911</v>
      </c>
      <c r="B1010" s="32"/>
    </row>
    <row r="1011" spans="1:2" x14ac:dyDescent="0.35">
      <c r="A1011" s="32" t="s">
        <v>912</v>
      </c>
      <c r="B1011" s="32"/>
    </row>
    <row r="1012" spans="1:2" x14ac:dyDescent="0.35">
      <c r="A1012" s="32" t="s">
        <v>913</v>
      </c>
      <c r="B1012" s="32"/>
    </row>
    <row r="1013" spans="1:2" x14ac:dyDescent="0.35">
      <c r="A1013" s="32" t="s">
        <v>914</v>
      </c>
      <c r="B1013" s="32"/>
    </row>
    <row r="1014" spans="1:2" x14ac:dyDescent="0.35">
      <c r="A1014" s="32" t="s">
        <v>915</v>
      </c>
      <c r="B1014" s="32"/>
    </row>
    <row r="1015" spans="1:2" x14ac:dyDescent="0.35">
      <c r="A1015" s="32" t="s">
        <v>916</v>
      </c>
      <c r="B1015" s="32"/>
    </row>
    <row r="1016" spans="1:2" x14ac:dyDescent="0.35">
      <c r="A1016" s="32" t="s">
        <v>917</v>
      </c>
      <c r="B1016" s="32"/>
    </row>
    <row r="1017" spans="1:2" x14ac:dyDescent="0.35">
      <c r="A1017" s="32" t="s">
        <v>918</v>
      </c>
      <c r="B1017" s="32"/>
    </row>
    <row r="1018" spans="1:2" x14ac:dyDescent="0.35">
      <c r="A1018" s="32" t="s">
        <v>919</v>
      </c>
      <c r="B1018" s="32"/>
    </row>
    <row r="1019" spans="1:2" x14ac:dyDescent="0.35">
      <c r="A1019" s="32" t="s">
        <v>920</v>
      </c>
      <c r="B1019" s="32"/>
    </row>
    <row r="1020" spans="1:2" x14ac:dyDescent="0.35">
      <c r="A1020" s="32" t="s">
        <v>921</v>
      </c>
      <c r="B1020" s="32"/>
    </row>
    <row r="1021" spans="1:2" x14ac:dyDescent="0.35">
      <c r="A1021" s="32" t="s">
        <v>922</v>
      </c>
      <c r="B1021" s="32"/>
    </row>
    <row r="1022" spans="1:2" x14ac:dyDescent="0.35">
      <c r="A1022" s="32" t="s">
        <v>923</v>
      </c>
      <c r="B1022" s="32"/>
    </row>
    <row r="1023" spans="1:2" x14ac:dyDescent="0.35">
      <c r="A1023" s="32" t="s">
        <v>924</v>
      </c>
      <c r="B1023" s="32"/>
    </row>
    <row r="1024" spans="1:2" x14ac:dyDescent="0.35">
      <c r="A1024" s="32" t="s">
        <v>925</v>
      </c>
      <c r="B1024" s="32"/>
    </row>
    <row r="1025" spans="1:2" x14ac:dyDescent="0.35">
      <c r="A1025" s="32" t="s">
        <v>926</v>
      </c>
      <c r="B1025" s="32"/>
    </row>
    <row r="1026" spans="1:2" x14ac:dyDescent="0.35">
      <c r="A1026" s="32" t="s">
        <v>927</v>
      </c>
      <c r="B1026" s="32"/>
    </row>
    <row r="1027" spans="1:2" x14ac:dyDescent="0.35">
      <c r="A1027" s="32" t="s">
        <v>928</v>
      </c>
      <c r="B1027" s="32"/>
    </row>
    <row r="1028" spans="1:2" x14ac:dyDescent="0.35">
      <c r="A1028" s="32" t="s">
        <v>929</v>
      </c>
      <c r="B1028" s="32"/>
    </row>
    <row r="1029" spans="1:2" x14ac:dyDescent="0.35">
      <c r="A1029" s="32" t="s">
        <v>930</v>
      </c>
      <c r="B1029" s="32"/>
    </row>
    <row r="1030" spans="1:2" x14ac:dyDescent="0.35">
      <c r="A1030" s="32" t="s">
        <v>931</v>
      </c>
      <c r="B1030" s="32"/>
    </row>
    <row r="1031" spans="1:2" x14ac:dyDescent="0.35">
      <c r="A1031" s="32" t="s">
        <v>932</v>
      </c>
      <c r="B1031" s="32"/>
    </row>
    <row r="1032" spans="1:2" x14ac:dyDescent="0.35">
      <c r="A1032" s="32" t="s">
        <v>933</v>
      </c>
      <c r="B1032" s="32"/>
    </row>
    <row r="1033" spans="1:2" x14ac:dyDescent="0.35">
      <c r="A1033" s="32" t="s">
        <v>934</v>
      </c>
      <c r="B1033" s="32"/>
    </row>
    <row r="1034" spans="1:2" x14ac:dyDescent="0.35">
      <c r="A1034" s="32" t="s">
        <v>935</v>
      </c>
      <c r="B1034" s="32"/>
    </row>
    <row r="1035" spans="1:2" x14ac:dyDescent="0.35">
      <c r="A1035" s="32" t="s">
        <v>936</v>
      </c>
      <c r="B1035" s="32"/>
    </row>
    <row r="1036" spans="1:2" x14ac:dyDescent="0.35">
      <c r="A1036" s="32" t="s">
        <v>937</v>
      </c>
      <c r="B1036" s="32"/>
    </row>
    <row r="1037" spans="1:2" x14ac:dyDescent="0.35">
      <c r="A1037" s="32" t="s">
        <v>938</v>
      </c>
      <c r="B1037" s="32"/>
    </row>
    <row r="1038" spans="1:2" x14ac:dyDescent="0.35">
      <c r="A1038" s="32" t="s">
        <v>939</v>
      </c>
      <c r="B1038" s="32"/>
    </row>
    <row r="1039" spans="1:2" x14ac:dyDescent="0.35">
      <c r="A1039" s="32" t="s">
        <v>940</v>
      </c>
      <c r="B1039" s="32"/>
    </row>
    <row r="1040" spans="1:2" x14ac:dyDescent="0.35">
      <c r="A1040" s="32" t="s">
        <v>941</v>
      </c>
      <c r="B1040" s="32"/>
    </row>
    <row r="1041" spans="1:2" x14ac:dyDescent="0.35">
      <c r="A1041" s="32" t="s">
        <v>942</v>
      </c>
      <c r="B1041" s="32"/>
    </row>
    <row r="1042" spans="1:2" x14ac:dyDescent="0.35">
      <c r="A1042" s="32" t="s">
        <v>943</v>
      </c>
      <c r="B1042" s="32"/>
    </row>
    <row r="1043" spans="1:2" x14ac:dyDescent="0.35">
      <c r="A1043" s="32" t="s">
        <v>944</v>
      </c>
      <c r="B1043" s="32"/>
    </row>
    <row r="1044" spans="1:2" x14ac:dyDescent="0.35">
      <c r="A1044" s="32" t="s">
        <v>945</v>
      </c>
      <c r="B1044" s="32"/>
    </row>
    <row r="1045" spans="1:2" x14ac:dyDescent="0.35">
      <c r="A1045" s="32" t="s">
        <v>946</v>
      </c>
      <c r="B1045" s="32"/>
    </row>
    <row r="1046" spans="1:2" x14ac:dyDescent="0.35">
      <c r="A1046" s="32" t="s">
        <v>947</v>
      </c>
      <c r="B1046" s="32"/>
    </row>
    <row r="1047" spans="1:2" x14ac:dyDescent="0.35">
      <c r="A1047" s="32" t="s">
        <v>948</v>
      </c>
      <c r="B1047" s="32"/>
    </row>
    <row r="1048" spans="1:2" x14ac:dyDescent="0.35">
      <c r="A1048" s="32" t="s">
        <v>949</v>
      </c>
      <c r="B1048" s="32"/>
    </row>
    <row r="1049" spans="1:2" x14ac:dyDescent="0.35">
      <c r="A1049" s="32" t="s">
        <v>950</v>
      </c>
      <c r="B1049" s="32"/>
    </row>
    <row r="1050" spans="1:2" x14ac:dyDescent="0.35">
      <c r="A1050" s="32" t="s">
        <v>951</v>
      </c>
      <c r="B1050" s="32"/>
    </row>
    <row r="1051" spans="1:2" x14ac:dyDescent="0.35">
      <c r="A1051" s="32" t="s">
        <v>952</v>
      </c>
      <c r="B1051" s="32"/>
    </row>
    <row r="1052" spans="1:2" x14ac:dyDescent="0.35">
      <c r="A1052" s="32" t="s">
        <v>953</v>
      </c>
      <c r="B1052" s="32"/>
    </row>
    <row r="1053" spans="1:2" x14ac:dyDescent="0.35">
      <c r="A1053" s="32" t="s">
        <v>954</v>
      </c>
      <c r="B1053" s="32"/>
    </row>
    <row r="1054" spans="1:2" x14ac:dyDescent="0.35">
      <c r="A1054" s="32" t="s">
        <v>955</v>
      </c>
      <c r="B1054" s="32"/>
    </row>
    <row r="1055" spans="1:2" x14ac:dyDescent="0.35">
      <c r="A1055" s="32" t="s">
        <v>956</v>
      </c>
      <c r="B1055" s="32"/>
    </row>
    <row r="1056" spans="1:2" x14ac:dyDescent="0.35">
      <c r="A1056" s="32" t="s">
        <v>957</v>
      </c>
      <c r="B1056" s="32"/>
    </row>
    <row r="1057" spans="1:2" x14ac:dyDescent="0.35">
      <c r="A1057" s="32" t="s">
        <v>958</v>
      </c>
      <c r="B1057" s="32"/>
    </row>
    <row r="1058" spans="1:2" x14ac:dyDescent="0.35">
      <c r="A1058" s="32" t="s">
        <v>959</v>
      </c>
      <c r="B1058" s="32"/>
    </row>
    <row r="1059" spans="1:2" x14ac:dyDescent="0.35">
      <c r="A1059" s="32" t="s">
        <v>960</v>
      </c>
      <c r="B1059" s="32"/>
    </row>
    <row r="1060" spans="1:2" x14ac:dyDescent="0.35">
      <c r="A1060" s="32" t="s">
        <v>961</v>
      </c>
      <c r="B1060" s="32"/>
    </row>
    <row r="1061" spans="1:2" x14ac:dyDescent="0.35">
      <c r="A1061" s="32" t="s">
        <v>962</v>
      </c>
      <c r="B1061" s="32"/>
    </row>
    <row r="1062" spans="1:2" x14ac:dyDescent="0.35">
      <c r="A1062" s="32" t="s">
        <v>963</v>
      </c>
      <c r="B1062" s="32"/>
    </row>
    <row r="1063" spans="1:2" x14ac:dyDescent="0.35">
      <c r="A1063" s="32" t="s">
        <v>964</v>
      </c>
      <c r="B1063" s="32"/>
    </row>
    <row r="1064" spans="1:2" x14ac:dyDescent="0.35">
      <c r="A1064" s="32" t="s">
        <v>965</v>
      </c>
      <c r="B1064" s="32"/>
    </row>
    <row r="1065" spans="1:2" x14ac:dyDescent="0.35">
      <c r="A1065" s="32" t="s">
        <v>966</v>
      </c>
      <c r="B1065" s="32"/>
    </row>
    <row r="1066" spans="1:2" x14ac:dyDescent="0.35">
      <c r="A1066" s="32" t="s">
        <v>967</v>
      </c>
      <c r="B1066" s="32"/>
    </row>
    <row r="1067" spans="1:2" x14ac:dyDescent="0.35">
      <c r="A1067" s="32" t="s">
        <v>968</v>
      </c>
      <c r="B1067" s="32"/>
    </row>
    <row r="1068" spans="1:2" x14ac:dyDescent="0.35">
      <c r="A1068" s="32" t="s">
        <v>969</v>
      </c>
      <c r="B1068" s="32"/>
    </row>
    <row r="1069" spans="1:2" x14ac:dyDescent="0.35">
      <c r="A1069" s="32" t="s">
        <v>970</v>
      </c>
      <c r="B1069" s="32"/>
    </row>
    <row r="1070" spans="1:2" x14ac:dyDescent="0.35">
      <c r="A1070" s="32" t="s">
        <v>971</v>
      </c>
      <c r="B1070" s="32"/>
    </row>
    <row r="1071" spans="1:2" x14ac:dyDescent="0.35">
      <c r="A1071" s="32" t="s">
        <v>972</v>
      </c>
      <c r="B1071" s="32"/>
    </row>
    <row r="1072" spans="1:2" x14ac:dyDescent="0.35">
      <c r="A1072" s="32" t="s">
        <v>973</v>
      </c>
      <c r="B1072" s="32"/>
    </row>
    <row r="1073" spans="1:2" x14ac:dyDescent="0.35">
      <c r="A1073" s="32" t="s">
        <v>974</v>
      </c>
      <c r="B1073" s="32"/>
    </row>
    <row r="1074" spans="1:2" x14ac:dyDescent="0.35">
      <c r="A1074" s="32" t="s">
        <v>975</v>
      </c>
      <c r="B1074" s="32"/>
    </row>
    <row r="1075" spans="1:2" x14ac:dyDescent="0.35">
      <c r="A1075" s="32" t="s">
        <v>976</v>
      </c>
      <c r="B1075" s="32"/>
    </row>
    <row r="1076" spans="1:2" x14ac:dyDescent="0.35">
      <c r="A1076" s="32" t="s">
        <v>977</v>
      </c>
      <c r="B1076" s="32"/>
    </row>
    <row r="1077" spans="1:2" x14ac:dyDescent="0.35">
      <c r="A1077" s="32" t="s">
        <v>978</v>
      </c>
      <c r="B1077" s="32"/>
    </row>
    <row r="1078" spans="1:2" x14ac:dyDescent="0.35">
      <c r="A1078" s="32" t="s">
        <v>979</v>
      </c>
      <c r="B1078" s="32"/>
    </row>
    <row r="1079" spans="1:2" x14ac:dyDescent="0.35">
      <c r="A1079" s="32" t="s">
        <v>980</v>
      </c>
      <c r="B1079" s="32"/>
    </row>
    <row r="1080" spans="1:2" x14ac:dyDescent="0.35">
      <c r="A1080" s="32" t="s">
        <v>981</v>
      </c>
      <c r="B1080" s="32"/>
    </row>
    <row r="1081" spans="1:2" x14ac:dyDescent="0.35">
      <c r="A1081" s="32" t="s">
        <v>982</v>
      </c>
      <c r="B1081" s="32"/>
    </row>
    <row r="1082" spans="1:2" x14ac:dyDescent="0.35">
      <c r="A1082" s="32" t="s">
        <v>983</v>
      </c>
      <c r="B1082" s="32"/>
    </row>
    <row r="1083" spans="1:2" x14ac:dyDescent="0.35">
      <c r="A1083" s="32" t="s">
        <v>984</v>
      </c>
      <c r="B1083" s="32"/>
    </row>
    <row r="1084" spans="1:2" x14ac:dyDescent="0.35">
      <c r="A1084" s="32" t="s">
        <v>985</v>
      </c>
      <c r="B1084" s="32"/>
    </row>
    <row r="1085" spans="1:2" x14ac:dyDescent="0.35">
      <c r="A1085" s="32" t="s">
        <v>986</v>
      </c>
      <c r="B1085" s="32"/>
    </row>
    <row r="1086" spans="1:2" x14ac:dyDescent="0.35">
      <c r="A1086" s="32" t="s">
        <v>987</v>
      </c>
      <c r="B1086" s="32"/>
    </row>
    <row r="1087" spans="1:2" x14ac:dyDescent="0.35">
      <c r="A1087" s="32" t="s">
        <v>988</v>
      </c>
      <c r="B1087" s="32"/>
    </row>
    <row r="1088" spans="1:2" x14ac:dyDescent="0.35">
      <c r="A1088" s="32" t="s">
        <v>989</v>
      </c>
      <c r="B1088" s="32"/>
    </row>
    <row r="1089" spans="1:2" x14ac:dyDescent="0.35">
      <c r="A1089" s="32" t="s">
        <v>990</v>
      </c>
      <c r="B1089" s="32"/>
    </row>
    <row r="1090" spans="1:2" x14ac:dyDescent="0.35">
      <c r="A1090" s="32" t="s">
        <v>991</v>
      </c>
      <c r="B1090" s="32"/>
    </row>
    <row r="1091" spans="1:2" x14ac:dyDescent="0.35">
      <c r="A1091" s="32" t="s">
        <v>992</v>
      </c>
      <c r="B1091" s="32"/>
    </row>
    <row r="1092" spans="1:2" x14ac:dyDescent="0.35">
      <c r="A1092" s="32" t="s">
        <v>993</v>
      </c>
      <c r="B1092" s="32"/>
    </row>
    <row r="1093" spans="1:2" x14ac:dyDescent="0.35">
      <c r="A1093" s="32" t="s">
        <v>994</v>
      </c>
      <c r="B1093" s="32"/>
    </row>
    <row r="1094" spans="1:2" x14ac:dyDescent="0.35">
      <c r="A1094" s="32" t="s">
        <v>995</v>
      </c>
      <c r="B1094" s="32"/>
    </row>
    <row r="1095" spans="1:2" x14ac:dyDescent="0.35">
      <c r="A1095" s="32" t="s">
        <v>996</v>
      </c>
      <c r="B1095" s="32"/>
    </row>
    <row r="1096" spans="1:2" x14ac:dyDescent="0.35">
      <c r="A1096" s="32" t="s">
        <v>997</v>
      </c>
      <c r="B1096" s="32"/>
    </row>
    <row r="1097" spans="1:2" x14ac:dyDescent="0.35">
      <c r="A1097" s="32" t="s">
        <v>998</v>
      </c>
      <c r="B1097" s="32"/>
    </row>
    <row r="1098" spans="1:2" x14ac:dyDescent="0.35">
      <c r="A1098" s="32" t="s">
        <v>999</v>
      </c>
      <c r="B1098" s="32"/>
    </row>
    <row r="1099" spans="1:2" x14ac:dyDescent="0.35">
      <c r="A1099" s="32" t="s">
        <v>1000</v>
      </c>
      <c r="B1099" s="32"/>
    </row>
    <row r="1100" spans="1:2" x14ac:dyDescent="0.35">
      <c r="A1100" s="32" t="s">
        <v>1001</v>
      </c>
      <c r="B1100" s="32"/>
    </row>
    <row r="1101" spans="1:2" x14ac:dyDescent="0.35">
      <c r="A1101" s="32" t="s">
        <v>1002</v>
      </c>
      <c r="B1101" s="32"/>
    </row>
    <row r="1102" spans="1:2" x14ac:dyDescent="0.35">
      <c r="A1102" s="32" t="s">
        <v>1003</v>
      </c>
      <c r="B1102" s="32"/>
    </row>
    <row r="1103" spans="1:2" x14ac:dyDescent="0.35">
      <c r="A1103" s="32" t="s">
        <v>1004</v>
      </c>
      <c r="B1103" s="32"/>
    </row>
    <row r="1104" spans="1:2" x14ac:dyDescent="0.35">
      <c r="A1104" s="32" t="s">
        <v>1005</v>
      </c>
      <c r="B1104" s="32"/>
    </row>
    <row r="1105" spans="1:2" x14ac:dyDescent="0.35">
      <c r="A1105" s="32" t="s">
        <v>1006</v>
      </c>
      <c r="B1105" s="32"/>
    </row>
    <row r="1106" spans="1:2" x14ac:dyDescent="0.35">
      <c r="A1106" s="32" t="s">
        <v>1007</v>
      </c>
      <c r="B1106" s="32"/>
    </row>
    <row r="1107" spans="1:2" x14ac:dyDescent="0.35">
      <c r="A1107" s="32" t="s">
        <v>1008</v>
      </c>
      <c r="B1107" s="32"/>
    </row>
    <row r="1108" spans="1:2" x14ac:dyDescent="0.35">
      <c r="A1108" s="32" t="s">
        <v>1009</v>
      </c>
      <c r="B1108" s="32"/>
    </row>
    <row r="1109" spans="1:2" x14ac:dyDescent="0.35">
      <c r="A1109" s="32" t="s">
        <v>1010</v>
      </c>
      <c r="B1109" s="32"/>
    </row>
    <row r="1110" spans="1:2" x14ac:dyDescent="0.35">
      <c r="A1110" s="32" t="s">
        <v>1011</v>
      </c>
      <c r="B1110" s="32"/>
    </row>
    <row r="1111" spans="1:2" x14ac:dyDescent="0.35">
      <c r="A1111" s="32" t="s">
        <v>1012</v>
      </c>
      <c r="B1111" s="32"/>
    </row>
    <row r="1112" spans="1:2" x14ac:dyDescent="0.35">
      <c r="A1112" s="32" t="s">
        <v>1013</v>
      </c>
      <c r="B1112" s="32"/>
    </row>
    <row r="1113" spans="1:2" x14ac:dyDescent="0.35">
      <c r="A1113" s="32" t="s">
        <v>1014</v>
      </c>
      <c r="B1113" s="32"/>
    </row>
    <row r="1114" spans="1:2" x14ac:dyDescent="0.35">
      <c r="A1114" s="32" t="s">
        <v>1015</v>
      </c>
      <c r="B1114" s="32"/>
    </row>
    <row r="1115" spans="1:2" x14ac:dyDescent="0.35">
      <c r="A1115" s="32" t="s">
        <v>1016</v>
      </c>
      <c r="B1115" s="32"/>
    </row>
    <row r="1116" spans="1:2" x14ac:dyDescent="0.35">
      <c r="A1116" s="32" t="s">
        <v>1017</v>
      </c>
      <c r="B1116" s="32"/>
    </row>
    <row r="1117" spans="1:2" x14ac:dyDescent="0.35">
      <c r="A1117" s="32" t="s">
        <v>1018</v>
      </c>
      <c r="B1117" s="32"/>
    </row>
    <row r="1118" spans="1:2" x14ac:dyDescent="0.35">
      <c r="A1118" s="32" t="s">
        <v>1019</v>
      </c>
      <c r="B1118" s="32"/>
    </row>
    <row r="1119" spans="1:2" x14ac:dyDescent="0.35">
      <c r="A1119" s="32" t="s">
        <v>1020</v>
      </c>
      <c r="B1119" s="32"/>
    </row>
    <row r="1120" spans="1:2" x14ac:dyDescent="0.35">
      <c r="A1120" s="32" t="s">
        <v>1021</v>
      </c>
      <c r="B1120" s="32"/>
    </row>
    <row r="1121" spans="1:2" x14ac:dyDescent="0.35">
      <c r="A1121" s="32" t="s">
        <v>1022</v>
      </c>
      <c r="B1121" s="32"/>
    </row>
    <row r="1122" spans="1:2" x14ac:dyDescent="0.35">
      <c r="A1122" s="32" t="s">
        <v>1023</v>
      </c>
      <c r="B1122" s="32"/>
    </row>
    <row r="1123" spans="1:2" x14ac:dyDescent="0.35">
      <c r="A1123" s="32" t="s">
        <v>1024</v>
      </c>
      <c r="B1123" s="32"/>
    </row>
    <row r="1124" spans="1:2" x14ac:dyDescent="0.35">
      <c r="A1124" s="32" t="s">
        <v>1025</v>
      </c>
      <c r="B1124" s="32"/>
    </row>
    <row r="1125" spans="1:2" x14ac:dyDescent="0.35">
      <c r="A1125" s="32" t="s">
        <v>1026</v>
      </c>
      <c r="B1125" s="32"/>
    </row>
    <row r="1126" spans="1:2" x14ac:dyDescent="0.35">
      <c r="A1126" s="32" t="s">
        <v>1027</v>
      </c>
      <c r="B1126" s="32"/>
    </row>
    <row r="1127" spans="1:2" x14ac:dyDescent="0.35">
      <c r="A1127" s="32" t="s">
        <v>1028</v>
      </c>
      <c r="B1127" s="32"/>
    </row>
    <row r="1128" spans="1:2" x14ac:dyDescent="0.35">
      <c r="A1128" s="32" t="s">
        <v>1029</v>
      </c>
      <c r="B1128" s="32"/>
    </row>
    <row r="1129" spans="1:2" x14ac:dyDescent="0.35">
      <c r="A1129" s="32" t="s">
        <v>1030</v>
      </c>
      <c r="B1129" s="32"/>
    </row>
    <row r="1130" spans="1:2" x14ac:dyDescent="0.35">
      <c r="A1130" s="32" t="s">
        <v>1031</v>
      </c>
      <c r="B1130" s="32"/>
    </row>
    <row r="1131" spans="1:2" x14ac:dyDescent="0.35">
      <c r="A1131" s="32" t="s">
        <v>1032</v>
      </c>
      <c r="B1131" s="32"/>
    </row>
    <row r="1132" spans="1:2" x14ac:dyDescent="0.35">
      <c r="A1132" s="32" t="s">
        <v>1033</v>
      </c>
      <c r="B1132" s="32"/>
    </row>
    <row r="1133" spans="1:2" x14ac:dyDescent="0.35">
      <c r="A1133" s="32" t="s">
        <v>1034</v>
      </c>
      <c r="B1133" s="32"/>
    </row>
    <row r="1134" spans="1:2" x14ac:dyDescent="0.35">
      <c r="A1134" s="32" t="s">
        <v>1035</v>
      </c>
      <c r="B1134" s="32"/>
    </row>
    <row r="1135" spans="1:2" x14ac:dyDescent="0.35">
      <c r="A1135" s="32" t="s">
        <v>1036</v>
      </c>
      <c r="B1135" s="32"/>
    </row>
    <row r="1136" spans="1:2" x14ac:dyDescent="0.35">
      <c r="A1136" s="32" t="s">
        <v>1037</v>
      </c>
      <c r="B1136" s="32"/>
    </row>
    <row r="1137" spans="1:2" x14ac:dyDescent="0.35">
      <c r="A1137" s="32" t="s">
        <v>1038</v>
      </c>
      <c r="B1137" s="32"/>
    </row>
    <row r="1138" spans="1:2" x14ac:dyDescent="0.35">
      <c r="A1138" s="32" t="s">
        <v>1039</v>
      </c>
      <c r="B1138" s="32"/>
    </row>
    <row r="1139" spans="1:2" x14ac:dyDescent="0.35">
      <c r="A1139" s="32" t="s">
        <v>1040</v>
      </c>
      <c r="B1139" s="32"/>
    </row>
    <row r="1140" spans="1:2" x14ac:dyDescent="0.35">
      <c r="A1140" s="32" t="s">
        <v>1041</v>
      </c>
      <c r="B1140" s="32"/>
    </row>
    <row r="1141" spans="1:2" x14ac:dyDescent="0.35">
      <c r="A1141" s="32" t="s">
        <v>1042</v>
      </c>
      <c r="B1141" s="32"/>
    </row>
    <row r="1142" spans="1:2" x14ac:dyDescent="0.35">
      <c r="A1142" s="32" t="s">
        <v>1043</v>
      </c>
      <c r="B1142" s="32"/>
    </row>
    <row r="1143" spans="1:2" x14ac:dyDescent="0.35">
      <c r="A1143" s="32" t="s">
        <v>1044</v>
      </c>
      <c r="B1143" s="32"/>
    </row>
    <row r="1144" spans="1:2" x14ac:dyDescent="0.35">
      <c r="A1144" s="32" t="s">
        <v>1045</v>
      </c>
      <c r="B1144" s="32"/>
    </row>
    <row r="1145" spans="1:2" x14ac:dyDescent="0.35">
      <c r="A1145" s="32" t="s">
        <v>1046</v>
      </c>
      <c r="B1145" s="32"/>
    </row>
    <row r="1146" spans="1:2" x14ac:dyDescent="0.35">
      <c r="A1146" s="32" t="s">
        <v>1047</v>
      </c>
      <c r="B1146" s="32"/>
    </row>
    <row r="1147" spans="1:2" x14ac:dyDescent="0.35">
      <c r="A1147" s="32" t="s">
        <v>1048</v>
      </c>
      <c r="B1147" s="32"/>
    </row>
    <row r="1148" spans="1:2" x14ac:dyDescent="0.35">
      <c r="A1148" s="32" t="s">
        <v>1049</v>
      </c>
      <c r="B1148" s="32"/>
    </row>
    <row r="1149" spans="1:2" x14ac:dyDescent="0.35">
      <c r="A1149" s="32" t="s">
        <v>1050</v>
      </c>
      <c r="B1149" s="32"/>
    </row>
    <row r="1150" spans="1:2" x14ac:dyDescent="0.35">
      <c r="A1150" s="32" t="s">
        <v>1051</v>
      </c>
      <c r="B1150" s="32"/>
    </row>
    <row r="1151" spans="1:2" x14ac:dyDescent="0.35">
      <c r="A1151" s="32" t="s">
        <v>1052</v>
      </c>
      <c r="B1151" s="32"/>
    </row>
    <row r="1152" spans="1:2" x14ac:dyDescent="0.35">
      <c r="A1152" s="32" t="s">
        <v>1053</v>
      </c>
      <c r="B1152" s="32"/>
    </row>
    <row r="1153" spans="1:2" x14ac:dyDescent="0.35">
      <c r="A1153" s="32" t="s">
        <v>1054</v>
      </c>
      <c r="B1153" s="32"/>
    </row>
    <row r="1154" spans="1:2" x14ac:dyDescent="0.35">
      <c r="A1154" s="32" t="s">
        <v>1055</v>
      </c>
      <c r="B1154" s="32"/>
    </row>
    <row r="1155" spans="1:2" x14ac:dyDescent="0.35">
      <c r="A1155" s="32" t="s">
        <v>1056</v>
      </c>
      <c r="B1155" s="32"/>
    </row>
    <row r="1156" spans="1:2" x14ac:dyDescent="0.35">
      <c r="A1156" s="32" t="s">
        <v>1057</v>
      </c>
      <c r="B1156" s="32"/>
    </row>
    <row r="1157" spans="1:2" x14ac:dyDescent="0.35">
      <c r="A1157" s="32" t="s">
        <v>1058</v>
      </c>
      <c r="B1157" s="32"/>
    </row>
    <row r="1158" spans="1:2" x14ac:dyDescent="0.35">
      <c r="A1158" s="32" t="s">
        <v>1059</v>
      </c>
      <c r="B1158" s="32"/>
    </row>
    <row r="1159" spans="1:2" x14ac:dyDescent="0.35">
      <c r="A1159" s="32" t="s">
        <v>1060</v>
      </c>
      <c r="B1159" s="32"/>
    </row>
    <row r="1160" spans="1:2" x14ac:dyDescent="0.35">
      <c r="A1160" s="32" t="s">
        <v>1061</v>
      </c>
      <c r="B1160" s="32"/>
    </row>
    <row r="1161" spans="1:2" x14ac:dyDescent="0.35">
      <c r="A1161" s="32" t="s">
        <v>1062</v>
      </c>
      <c r="B1161" s="32"/>
    </row>
    <row r="1162" spans="1:2" x14ac:dyDescent="0.35">
      <c r="A1162" s="32" t="s">
        <v>1063</v>
      </c>
      <c r="B1162" s="32"/>
    </row>
    <row r="1163" spans="1:2" x14ac:dyDescent="0.35">
      <c r="A1163" s="32" t="s">
        <v>1064</v>
      </c>
      <c r="B1163" s="32"/>
    </row>
    <row r="1164" spans="1:2" x14ac:dyDescent="0.35">
      <c r="A1164" s="32" t="s">
        <v>1065</v>
      </c>
      <c r="B1164" s="32"/>
    </row>
    <row r="1165" spans="1:2" x14ac:dyDescent="0.35">
      <c r="A1165" s="32" t="s">
        <v>1066</v>
      </c>
      <c r="B1165" s="32"/>
    </row>
    <row r="1166" spans="1:2" x14ac:dyDescent="0.35">
      <c r="A1166" s="32" t="s">
        <v>1067</v>
      </c>
      <c r="B1166" s="32"/>
    </row>
    <row r="1167" spans="1:2" x14ac:dyDescent="0.35">
      <c r="A1167" s="32" t="s">
        <v>1068</v>
      </c>
      <c r="B1167" s="32"/>
    </row>
    <row r="1168" spans="1:2" x14ac:dyDescent="0.35">
      <c r="A1168" s="32" t="s">
        <v>1069</v>
      </c>
      <c r="B1168" s="32"/>
    </row>
    <row r="1169" spans="1:2" x14ac:dyDescent="0.35">
      <c r="A1169" s="32" t="s">
        <v>1070</v>
      </c>
      <c r="B1169" s="32"/>
    </row>
    <row r="1170" spans="1:2" x14ac:dyDescent="0.35">
      <c r="A1170" s="32" t="s">
        <v>1071</v>
      </c>
      <c r="B1170" s="32"/>
    </row>
    <row r="1171" spans="1:2" x14ac:dyDescent="0.35">
      <c r="A1171" s="32" t="s">
        <v>1072</v>
      </c>
      <c r="B1171" s="32"/>
    </row>
    <row r="1172" spans="1:2" x14ac:dyDescent="0.35">
      <c r="A1172" s="32" t="s">
        <v>1073</v>
      </c>
      <c r="B1172" s="32"/>
    </row>
    <row r="1173" spans="1:2" x14ac:dyDescent="0.35">
      <c r="A1173" s="32" t="s">
        <v>1074</v>
      </c>
      <c r="B1173" s="32"/>
    </row>
    <row r="1174" spans="1:2" x14ac:dyDescent="0.35">
      <c r="A1174" s="32" t="s">
        <v>1075</v>
      </c>
      <c r="B1174" s="32"/>
    </row>
    <row r="1175" spans="1:2" x14ac:dyDescent="0.35">
      <c r="A1175" s="32" t="s">
        <v>1076</v>
      </c>
      <c r="B1175" s="32"/>
    </row>
    <row r="1176" spans="1:2" x14ac:dyDescent="0.35">
      <c r="A1176" s="32" t="s">
        <v>1077</v>
      </c>
      <c r="B1176" s="32"/>
    </row>
    <row r="1177" spans="1:2" x14ac:dyDescent="0.35">
      <c r="A1177" s="32" t="s">
        <v>1078</v>
      </c>
      <c r="B1177" s="32"/>
    </row>
    <row r="1178" spans="1:2" x14ac:dyDescent="0.35">
      <c r="A1178" s="32" t="s">
        <v>1079</v>
      </c>
      <c r="B1178" s="32"/>
    </row>
    <row r="1179" spans="1:2" x14ac:dyDescent="0.35">
      <c r="A1179" s="32" t="s">
        <v>1080</v>
      </c>
      <c r="B1179" s="32"/>
    </row>
    <row r="1180" spans="1:2" x14ac:dyDescent="0.35">
      <c r="A1180" s="32" t="s">
        <v>1081</v>
      </c>
      <c r="B1180" s="32"/>
    </row>
    <row r="1181" spans="1:2" x14ac:dyDescent="0.35">
      <c r="A1181" s="32" t="s">
        <v>1082</v>
      </c>
      <c r="B1181" s="32"/>
    </row>
    <row r="1182" spans="1:2" x14ac:dyDescent="0.35">
      <c r="A1182" s="32" t="s">
        <v>1083</v>
      </c>
      <c r="B1182" s="32"/>
    </row>
    <row r="1183" spans="1:2" x14ac:dyDescent="0.35">
      <c r="A1183" s="32" t="s">
        <v>1084</v>
      </c>
      <c r="B1183" s="32"/>
    </row>
    <row r="1184" spans="1:2" x14ac:dyDescent="0.35">
      <c r="A1184" s="32" t="s">
        <v>1085</v>
      </c>
      <c r="B1184" s="32"/>
    </row>
    <row r="1185" spans="1:2" x14ac:dyDescent="0.35">
      <c r="A1185" s="32" t="s">
        <v>1086</v>
      </c>
      <c r="B1185" s="32"/>
    </row>
    <row r="1186" spans="1:2" x14ac:dyDescent="0.35">
      <c r="A1186" s="32" t="s">
        <v>1087</v>
      </c>
      <c r="B1186" s="32"/>
    </row>
    <row r="1187" spans="1:2" x14ac:dyDescent="0.35">
      <c r="A1187" s="32" t="s">
        <v>1088</v>
      </c>
      <c r="B1187" s="32"/>
    </row>
    <row r="1188" spans="1:2" x14ac:dyDescent="0.35">
      <c r="A1188" s="32" t="s">
        <v>1089</v>
      </c>
      <c r="B1188" s="32"/>
    </row>
    <row r="1189" spans="1:2" x14ac:dyDescent="0.35">
      <c r="A1189" s="32" t="s">
        <v>1090</v>
      </c>
      <c r="B1189" s="32"/>
    </row>
    <row r="1190" spans="1:2" x14ac:dyDescent="0.35">
      <c r="A1190" s="32" t="s">
        <v>1091</v>
      </c>
      <c r="B1190" s="32"/>
    </row>
    <row r="1191" spans="1:2" x14ac:dyDescent="0.35">
      <c r="A1191" s="32" t="s">
        <v>1092</v>
      </c>
      <c r="B1191" s="32"/>
    </row>
    <row r="1192" spans="1:2" x14ac:dyDescent="0.35">
      <c r="A1192" s="32" t="s">
        <v>1093</v>
      </c>
      <c r="B1192" s="32"/>
    </row>
    <row r="1193" spans="1:2" x14ac:dyDescent="0.35">
      <c r="A1193" s="32" t="s">
        <v>1094</v>
      </c>
      <c r="B1193" s="32"/>
    </row>
    <row r="1194" spans="1:2" x14ac:dyDescent="0.35">
      <c r="A1194" s="32" t="s">
        <v>1095</v>
      </c>
      <c r="B1194" s="32"/>
    </row>
    <row r="1195" spans="1:2" x14ac:dyDescent="0.35">
      <c r="A1195" s="32" t="s">
        <v>1096</v>
      </c>
      <c r="B1195" s="32"/>
    </row>
    <row r="1196" spans="1:2" x14ac:dyDescent="0.35">
      <c r="A1196" s="32" t="s">
        <v>1097</v>
      </c>
      <c r="B1196" s="32"/>
    </row>
    <row r="1197" spans="1:2" x14ac:dyDescent="0.35">
      <c r="A1197" s="32" t="s">
        <v>1098</v>
      </c>
      <c r="B1197" s="32"/>
    </row>
    <row r="1198" spans="1:2" x14ac:dyDescent="0.35">
      <c r="A1198" s="32" t="s">
        <v>1099</v>
      </c>
      <c r="B1198" s="32"/>
    </row>
    <row r="1199" spans="1:2" x14ac:dyDescent="0.35">
      <c r="A1199" s="32" t="s">
        <v>1100</v>
      </c>
      <c r="B1199" s="32"/>
    </row>
    <row r="1200" spans="1:2" x14ac:dyDescent="0.35">
      <c r="A1200" s="32" t="s">
        <v>1101</v>
      </c>
      <c r="B1200" s="32"/>
    </row>
    <row r="1201" spans="1:2" x14ac:dyDescent="0.35">
      <c r="A1201" s="32" t="s">
        <v>1102</v>
      </c>
      <c r="B1201" s="32"/>
    </row>
    <row r="1202" spans="1:2" x14ac:dyDescent="0.35">
      <c r="A1202" s="32" t="s">
        <v>1103</v>
      </c>
      <c r="B1202" s="32"/>
    </row>
    <row r="1203" spans="1:2" x14ac:dyDescent="0.35">
      <c r="A1203" s="32" t="s">
        <v>1104</v>
      </c>
      <c r="B1203" s="32"/>
    </row>
    <row r="1204" spans="1:2" x14ac:dyDescent="0.35">
      <c r="A1204" s="32" t="s">
        <v>1105</v>
      </c>
      <c r="B1204" s="32"/>
    </row>
    <row r="1205" spans="1:2" x14ac:dyDescent="0.35">
      <c r="A1205" s="32" t="s">
        <v>1106</v>
      </c>
      <c r="B1205" s="32"/>
    </row>
    <row r="1206" spans="1:2" x14ac:dyDescent="0.35">
      <c r="A1206" s="32" t="s">
        <v>1107</v>
      </c>
      <c r="B1206" s="32"/>
    </row>
    <row r="1207" spans="1:2" x14ac:dyDescent="0.35">
      <c r="A1207" s="32" t="s">
        <v>1108</v>
      </c>
      <c r="B1207" s="32"/>
    </row>
    <row r="1208" spans="1:2" x14ac:dyDescent="0.35">
      <c r="A1208" s="32" t="s">
        <v>1109</v>
      </c>
      <c r="B1208" s="32"/>
    </row>
    <row r="1209" spans="1:2" x14ac:dyDescent="0.35">
      <c r="A1209" s="32" t="s">
        <v>1110</v>
      </c>
      <c r="B1209" s="32"/>
    </row>
    <row r="1210" spans="1:2" x14ac:dyDescent="0.35">
      <c r="A1210" s="32" t="s">
        <v>1111</v>
      </c>
      <c r="B1210" s="32"/>
    </row>
    <row r="1211" spans="1:2" x14ac:dyDescent="0.35">
      <c r="A1211" s="32" t="s">
        <v>1112</v>
      </c>
      <c r="B1211" s="32"/>
    </row>
    <row r="1212" spans="1:2" x14ac:dyDescent="0.35">
      <c r="A1212" s="32" t="s">
        <v>1113</v>
      </c>
      <c r="B1212" s="32"/>
    </row>
    <row r="1213" spans="1:2" x14ac:dyDescent="0.35">
      <c r="A1213" s="32" t="s">
        <v>1114</v>
      </c>
      <c r="B1213" s="32"/>
    </row>
    <row r="1214" spans="1:2" x14ac:dyDescent="0.35">
      <c r="A1214" s="32" t="s">
        <v>1115</v>
      </c>
      <c r="B1214" s="32"/>
    </row>
    <row r="1215" spans="1:2" x14ac:dyDescent="0.35">
      <c r="A1215" s="32" t="s">
        <v>1116</v>
      </c>
      <c r="B1215" s="32"/>
    </row>
    <row r="1216" spans="1:2" x14ac:dyDescent="0.35">
      <c r="A1216" s="32" t="s">
        <v>1117</v>
      </c>
      <c r="B1216" s="32"/>
    </row>
    <row r="1217" spans="1:2" x14ac:dyDescent="0.35">
      <c r="A1217" s="32" t="s">
        <v>1118</v>
      </c>
      <c r="B1217" s="32"/>
    </row>
    <row r="1218" spans="1:2" x14ac:dyDescent="0.35">
      <c r="A1218" s="32" t="s">
        <v>1119</v>
      </c>
      <c r="B1218" s="32"/>
    </row>
    <row r="1219" spans="1:2" x14ac:dyDescent="0.35">
      <c r="A1219" s="32" t="s">
        <v>1120</v>
      </c>
      <c r="B1219" s="32"/>
    </row>
    <row r="1220" spans="1:2" x14ac:dyDescent="0.35">
      <c r="A1220" s="32" t="s">
        <v>1121</v>
      </c>
      <c r="B1220" s="32"/>
    </row>
    <row r="1221" spans="1:2" x14ac:dyDescent="0.35">
      <c r="A1221" s="32" t="s">
        <v>1122</v>
      </c>
      <c r="B1221" s="32"/>
    </row>
    <row r="1222" spans="1:2" x14ac:dyDescent="0.35">
      <c r="A1222" s="32" t="s">
        <v>1123</v>
      </c>
      <c r="B1222" s="32"/>
    </row>
    <row r="1223" spans="1:2" x14ac:dyDescent="0.35">
      <c r="A1223" s="32" t="s">
        <v>1124</v>
      </c>
      <c r="B1223" s="32"/>
    </row>
    <row r="1224" spans="1:2" x14ac:dyDescent="0.35">
      <c r="A1224" s="32" t="s">
        <v>1125</v>
      </c>
      <c r="B1224" s="32"/>
    </row>
    <row r="1225" spans="1:2" x14ac:dyDescent="0.35">
      <c r="A1225" s="32" t="s">
        <v>1126</v>
      </c>
      <c r="B1225" s="32"/>
    </row>
    <row r="1226" spans="1:2" x14ac:dyDescent="0.35">
      <c r="A1226" s="32" t="s">
        <v>1127</v>
      </c>
      <c r="B1226" s="32"/>
    </row>
    <row r="1227" spans="1:2" x14ac:dyDescent="0.35">
      <c r="A1227" s="32" t="s">
        <v>1128</v>
      </c>
      <c r="B1227" s="32"/>
    </row>
    <row r="1228" spans="1:2" x14ac:dyDescent="0.35">
      <c r="A1228" s="32" t="s">
        <v>1129</v>
      </c>
      <c r="B1228" s="32"/>
    </row>
    <row r="1229" spans="1:2" x14ac:dyDescent="0.35">
      <c r="A1229" s="32" t="s">
        <v>1130</v>
      </c>
      <c r="B1229" s="32"/>
    </row>
    <row r="1230" spans="1:2" x14ac:dyDescent="0.35">
      <c r="A1230" s="32" t="s">
        <v>1131</v>
      </c>
      <c r="B1230" s="32"/>
    </row>
    <row r="1231" spans="1:2" x14ac:dyDescent="0.35">
      <c r="A1231" s="32" t="s">
        <v>1132</v>
      </c>
      <c r="B1231" s="32"/>
    </row>
    <row r="1232" spans="1:2" x14ac:dyDescent="0.35">
      <c r="A1232" s="32" t="s">
        <v>1133</v>
      </c>
      <c r="B1232" s="32"/>
    </row>
    <row r="1233" spans="1:2" x14ac:dyDescent="0.35">
      <c r="A1233" s="32" t="s">
        <v>1134</v>
      </c>
      <c r="B1233" s="32"/>
    </row>
    <row r="1234" spans="1:2" x14ac:dyDescent="0.35">
      <c r="A1234" s="32" t="s">
        <v>1135</v>
      </c>
      <c r="B1234" s="32"/>
    </row>
    <row r="1235" spans="1:2" x14ac:dyDescent="0.35">
      <c r="A1235" s="32" t="s">
        <v>1136</v>
      </c>
      <c r="B1235" s="32"/>
    </row>
    <row r="1236" spans="1:2" x14ac:dyDescent="0.35">
      <c r="A1236" s="32" t="s">
        <v>1137</v>
      </c>
      <c r="B1236" s="32"/>
    </row>
    <row r="1237" spans="1:2" x14ac:dyDescent="0.35">
      <c r="A1237" s="32" t="s">
        <v>1138</v>
      </c>
      <c r="B1237" s="32"/>
    </row>
    <row r="1238" spans="1:2" x14ac:dyDescent="0.35">
      <c r="A1238" s="32" t="s">
        <v>1139</v>
      </c>
      <c r="B1238" s="32"/>
    </row>
    <row r="1239" spans="1:2" x14ac:dyDescent="0.35">
      <c r="A1239" s="32" t="s">
        <v>1140</v>
      </c>
      <c r="B1239" s="32"/>
    </row>
    <row r="1240" spans="1:2" x14ac:dyDescent="0.35">
      <c r="A1240" s="32" t="s">
        <v>1141</v>
      </c>
      <c r="B1240" s="32"/>
    </row>
    <row r="1241" spans="1:2" x14ac:dyDescent="0.35">
      <c r="A1241" s="32" t="s">
        <v>1142</v>
      </c>
      <c r="B1241" s="32"/>
    </row>
    <row r="1242" spans="1:2" x14ac:dyDescent="0.35">
      <c r="A1242" s="32" t="s">
        <v>1143</v>
      </c>
      <c r="B1242" s="32"/>
    </row>
    <row r="1243" spans="1:2" x14ac:dyDescent="0.35">
      <c r="A1243" s="32" t="s">
        <v>1144</v>
      </c>
      <c r="B1243" s="32"/>
    </row>
    <row r="1244" spans="1:2" x14ac:dyDescent="0.35">
      <c r="A1244" s="32" t="s">
        <v>1145</v>
      </c>
      <c r="B1244" s="32"/>
    </row>
    <row r="1245" spans="1:2" x14ac:dyDescent="0.35">
      <c r="A1245" s="32" t="s">
        <v>1146</v>
      </c>
      <c r="B1245" s="32"/>
    </row>
    <row r="1246" spans="1:2" x14ac:dyDescent="0.35">
      <c r="A1246" s="32" t="s">
        <v>1147</v>
      </c>
      <c r="B1246" s="32"/>
    </row>
    <row r="1247" spans="1:2" x14ac:dyDescent="0.35">
      <c r="A1247" s="32" t="s">
        <v>1148</v>
      </c>
      <c r="B1247" s="32"/>
    </row>
    <row r="1248" spans="1:2" x14ac:dyDescent="0.35">
      <c r="A1248" s="32" t="s">
        <v>1149</v>
      </c>
      <c r="B1248" s="32"/>
    </row>
    <row r="1249" spans="1:2" x14ac:dyDescent="0.35">
      <c r="A1249" s="32" t="s">
        <v>1150</v>
      </c>
      <c r="B1249" s="32"/>
    </row>
    <row r="1250" spans="1:2" x14ac:dyDescent="0.35">
      <c r="A1250" s="32" t="s">
        <v>1151</v>
      </c>
      <c r="B1250" s="32"/>
    </row>
    <row r="1251" spans="1:2" x14ac:dyDescent="0.35">
      <c r="A1251" s="32" t="s">
        <v>1152</v>
      </c>
      <c r="B1251" s="32"/>
    </row>
    <row r="1252" spans="1:2" x14ac:dyDescent="0.35">
      <c r="A1252" s="32" t="s">
        <v>1153</v>
      </c>
      <c r="B1252" s="32"/>
    </row>
    <row r="1253" spans="1:2" x14ac:dyDescent="0.35">
      <c r="A1253" s="32" t="s">
        <v>1154</v>
      </c>
      <c r="B1253" s="32"/>
    </row>
    <row r="1254" spans="1:2" x14ac:dyDescent="0.35">
      <c r="A1254" s="32" t="s">
        <v>1155</v>
      </c>
      <c r="B1254" s="32"/>
    </row>
    <row r="1255" spans="1:2" x14ac:dyDescent="0.35">
      <c r="A1255" s="32" t="s">
        <v>1156</v>
      </c>
      <c r="B1255" s="32"/>
    </row>
    <row r="1256" spans="1:2" x14ac:dyDescent="0.35">
      <c r="A1256" s="32" t="s">
        <v>1157</v>
      </c>
      <c r="B1256" s="32"/>
    </row>
    <row r="1257" spans="1:2" x14ac:dyDescent="0.35">
      <c r="A1257" s="32" t="s">
        <v>1158</v>
      </c>
      <c r="B1257" s="32"/>
    </row>
    <row r="1258" spans="1:2" x14ac:dyDescent="0.35">
      <c r="A1258" s="32" t="s">
        <v>1159</v>
      </c>
      <c r="B1258" s="32"/>
    </row>
    <row r="1259" spans="1:2" x14ac:dyDescent="0.35">
      <c r="A1259" s="32" t="s">
        <v>1160</v>
      </c>
      <c r="B1259" s="32"/>
    </row>
    <row r="1260" spans="1:2" x14ac:dyDescent="0.35">
      <c r="A1260" s="32" t="s">
        <v>1161</v>
      </c>
      <c r="B1260" s="32"/>
    </row>
    <row r="1261" spans="1:2" x14ac:dyDescent="0.35">
      <c r="A1261" s="32" t="s">
        <v>1162</v>
      </c>
      <c r="B1261" s="32"/>
    </row>
    <row r="1262" spans="1:2" x14ac:dyDescent="0.35">
      <c r="A1262" s="32" t="s">
        <v>1163</v>
      </c>
      <c r="B1262" s="32"/>
    </row>
    <row r="1263" spans="1:2" x14ac:dyDescent="0.35">
      <c r="A1263" s="32" t="s">
        <v>1164</v>
      </c>
      <c r="B1263" s="32"/>
    </row>
    <row r="1264" spans="1:2" x14ac:dyDescent="0.35">
      <c r="A1264" s="32" t="s">
        <v>1165</v>
      </c>
      <c r="B1264" s="32"/>
    </row>
    <row r="1265" spans="1:2" x14ac:dyDescent="0.35">
      <c r="A1265" s="32" t="s">
        <v>1166</v>
      </c>
      <c r="B1265" s="32"/>
    </row>
    <row r="1266" spans="1:2" x14ac:dyDescent="0.35">
      <c r="A1266" s="32" t="s">
        <v>1167</v>
      </c>
      <c r="B1266" s="32"/>
    </row>
    <row r="1267" spans="1:2" x14ac:dyDescent="0.35">
      <c r="A1267" s="32" t="s">
        <v>1168</v>
      </c>
      <c r="B1267" s="32"/>
    </row>
    <row r="1268" spans="1:2" x14ac:dyDescent="0.35">
      <c r="A1268" s="32" t="s">
        <v>1169</v>
      </c>
      <c r="B1268" s="32"/>
    </row>
    <row r="1269" spans="1:2" x14ac:dyDescent="0.35">
      <c r="A1269" s="32" t="s">
        <v>1170</v>
      </c>
      <c r="B1269" s="32"/>
    </row>
    <row r="1270" spans="1:2" x14ac:dyDescent="0.35">
      <c r="A1270" s="32" t="s">
        <v>1171</v>
      </c>
      <c r="B1270" s="32"/>
    </row>
    <row r="1271" spans="1:2" x14ac:dyDescent="0.35">
      <c r="A1271" s="32" t="s">
        <v>1172</v>
      </c>
      <c r="B1271" s="32"/>
    </row>
    <row r="1272" spans="1:2" x14ac:dyDescent="0.35">
      <c r="A1272" s="32" t="s">
        <v>1173</v>
      </c>
      <c r="B1272" s="32"/>
    </row>
    <row r="1273" spans="1:2" x14ac:dyDescent="0.35">
      <c r="A1273" s="32" t="s">
        <v>1174</v>
      </c>
      <c r="B1273" s="32"/>
    </row>
    <row r="1274" spans="1:2" x14ac:dyDescent="0.35">
      <c r="A1274" s="32" t="s">
        <v>1175</v>
      </c>
      <c r="B1274" s="32"/>
    </row>
    <row r="1275" spans="1:2" x14ac:dyDescent="0.35">
      <c r="A1275" s="32" t="s">
        <v>1176</v>
      </c>
      <c r="B1275" s="32"/>
    </row>
    <row r="1276" spans="1:2" x14ac:dyDescent="0.35">
      <c r="A1276" s="32" t="s">
        <v>1177</v>
      </c>
      <c r="B1276" s="32"/>
    </row>
    <row r="1277" spans="1:2" x14ac:dyDescent="0.35">
      <c r="A1277" s="32" t="s">
        <v>1178</v>
      </c>
      <c r="B1277" s="32"/>
    </row>
    <row r="1278" spans="1:2" x14ac:dyDescent="0.35">
      <c r="A1278" s="32" t="s">
        <v>1179</v>
      </c>
      <c r="B1278" s="32"/>
    </row>
    <row r="1279" spans="1:2" x14ac:dyDescent="0.35">
      <c r="A1279" s="32" t="s">
        <v>1180</v>
      </c>
      <c r="B1279" s="32"/>
    </row>
    <row r="1280" spans="1:2" x14ac:dyDescent="0.35">
      <c r="A1280" s="32" t="s">
        <v>1181</v>
      </c>
      <c r="B1280" s="32"/>
    </row>
    <row r="1281" spans="1:2" x14ac:dyDescent="0.35">
      <c r="A1281" s="32" t="s">
        <v>1182</v>
      </c>
      <c r="B1281" s="32"/>
    </row>
    <row r="1282" spans="1:2" x14ac:dyDescent="0.35">
      <c r="A1282" s="32" t="s">
        <v>1183</v>
      </c>
      <c r="B1282" s="32"/>
    </row>
    <row r="1283" spans="1:2" x14ac:dyDescent="0.35">
      <c r="A1283" s="32" t="s">
        <v>1184</v>
      </c>
      <c r="B1283" s="32"/>
    </row>
    <row r="1284" spans="1:2" x14ac:dyDescent="0.35">
      <c r="A1284" s="32" t="s">
        <v>1185</v>
      </c>
      <c r="B1284" s="32"/>
    </row>
    <row r="1285" spans="1:2" x14ac:dyDescent="0.35">
      <c r="A1285" s="32" t="s">
        <v>1186</v>
      </c>
      <c r="B1285" s="32"/>
    </row>
    <row r="1286" spans="1:2" x14ac:dyDescent="0.35">
      <c r="A1286" s="32" t="s">
        <v>1187</v>
      </c>
      <c r="B1286" s="32"/>
    </row>
    <row r="1287" spans="1:2" x14ac:dyDescent="0.35">
      <c r="A1287" s="32" t="s">
        <v>1188</v>
      </c>
      <c r="B1287" s="32"/>
    </row>
    <row r="1288" spans="1:2" x14ac:dyDescent="0.35">
      <c r="A1288" s="32" t="s">
        <v>1189</v>
      </c>
      <c r="B1288" s="32"/>
    </row>
    <row r="1289" spans="1:2" x14ac:dyDescent="0.35">
      <c r="A1289" s="32" t="s">
        <v>1190</v>
      </c>
      <c r="B1289" s="32"/>
    </row>
    <row r="1290" spans="1:2" x14ac:dyDescent="0.35">
      <c r="A1290" s="32" t="s">
        <v>1191</v>
      </c>
      <c r="B1290" s="32"/>
    </row>
    <row r="1291" spans="1:2" x14ac:dyDescent="0.35">
      <c r="A1291" s="32" t="s">
        <v>1192</v>
      </c>
      <c r="B1291" s="32"/>
    </row>
    <row r="1292" spans="1:2" x14ac:dyDescent="0.35">
      <c r="A1292" s="32" t="s">
        <v>1193</v>
      </c>
      <c r="B1292" s="32"/>
    </row>
    <row r="1293" spans="1:2" x14ac:dyDescent="0.35">
      <c r="A1293" s="32" t="s">
        <v>1194</v>
      </c>
      <c r="B1293" s="32"/>
    </row>
    <row r="1294" spans="1:2" x14ac:dyDescent="0.35">
      <c r="A1294" s="32" t="s">
        <v>1195</v>
      </c>
      <c r="B1294" s="32"/>
    </row>
    <row r="1295" spans="1:2" x14ac:dyDescent="0.35">
      <c r="A1295" s="32" t="s">
        <v>1196</v>
      </c>
      <c r="B1295" s="32"/>
    </row>
    <row r="1296" spans="1:2" x14ac:dyDescent="0.35">
      <c r="A1296" s="32" t="s">
        <v>1197</v>
      </c>
      <c r="B1296" s="32"/>
    </row>
    <row r="1297" spans="1:2" x14ac:dyDescent="0.35">
      <c r="A1297" s="32" t="s">
        <v>1198</v>
      </c>
      <c r="B1297" s="32"/>
    </row>
    <row r="1298" spans="1:2" x14ac:dyDescent="0.35">
      <c r="A1298" s="32" t="s">
        <v>1199</v>
      </c>
      <c r="B1298" s="32"/>
    </row>
    <row r="1299" spans="1:2" x14ac:dyDescent="0.35">
      <c r="A1299" s="32" t="s">
        <v>1200</v>
      </c>
      <c r="B1299" s="32"/>
    </row>
    <row r="1300" spans="1:2" x14ac:dyDescent="0.35">
      <c r="A1300" s="32" t="s">
        <v>1201</v>
      </c>
      <c r="B1300" s="32"/>
    </row>
    <row r="1301" spans="1:2" x14ac:dyDescent="0.35">
      <c r="A1301" s="32" t="s">
        <v>1202</v>
      </c>
      <c r="B1301" s="32"/>
    </row>
    <row r="1302" spans="1:2" x14ac:dyDescent="0.35">
      <c r="A1302" s="32" t="s">
        <v>1203</v>
      </c>
      <c r="B1302" s="32"/>
    </row>
    <row r="1303" spans="1:2" x14ac:dyDescent="0.35">
      <c r="A1303" s="32" t="s">
        <v>1204</v>
      </c>
      <c r="B1303" s="32"/>
    </row>
    <row r="1304" spans="1:2" x14ac:dyDescent="0.35">
      <c r="A1304" s="32" t="s">
        <v>1205</v>
      </c>
      <c r="B1304" s="32"/>
    </row>
    <row r="1305" spans="1:2" x14ac:dyDescent="0.35">
      <c r="A1305" s="32" t="s">
        <v>1206</v>
      </c>
      <c r="B1305" s="32"/>
    </row>
    <row r="1306" spans="1:2" x14ac:dyDescent="0.35">
      <c r="A1306" s="32" t="s">
        <v>1207</v>
      </c>
      <c r="B1306" s="32"/>
    </row>
    <row r="1307" spans="1:2" x14ac:dyDescent="0.35">
      <c r="A1307" s="32" t="s">
        <v>1208</v>
      </c>
      <c r="B1307" s="32"/>
    </row>
    <row r="1308" spans="1:2" x14ac:dyDescent="0.35">
      <c r="A1308" s="32" t="s">
        <v>1209</v>
      </c>
      <c r="B1308" s="32"/>
    </row>
    <row r="1309" spans="1:2" x14ac:dyDescent="0.35">
      <c r="A1309" s="32" t="s">
        <v>1210</v>
      </c>
      <c r="B1309" s="32"/>
    </row>
    <row r="1310" spans="1:2" x14ac:dyDescent="0.35">
      <c r="A1310" s="32" t="s">
        <v>1211</v>
      </c>
      <c r="B1310" s="32"/>
    </row>
    <row r="1311" spans="1:2" x14ac:dyDescent="0.35">
      <c r="A1311" s="32" t="s">
        <v>1212</v>
      </c>
      <c r="B1311" s="32"/>
    </row>
    <row r="1312" spans="1:2" x14ac:dyDescent="0.35">
      <c r="A1312" s="32" t="s">
        <v>1213</v>
      </c>
      <c r="B1312" s="32"/>
    </row>
    <row r="1313" spans="1:2" x14ac:dyDescent="0.35">
      <c r="A1313" s="32" t="s">
        <v>1214</v>
      </c>
      <c r="B1313" s="32"/>
    </row>
    <row r="1314" spans="1:2" x14ac:dyDescent="0.35">
      <c r="A1314" s="32" t="s">
        <v>1215</v>
      </c>
      <c r="B1314" s="32"/>
    </row>
    <row r="1315" spans="1:2" x14ac:dyDescent="0.35">
      <c r="A1315" s="32" t="s">
        <v>1216</v>
      </c>
      <c r="B1315" s="32"/>
    </row>
    <row r="1316" spans="1:2" x14ac:dyDescent="0.35">
      <c r="A1316" s="32" t="s">
        <v>1217</v>
      </c>
      <c r="B1316" s="32"/>
    </row>
    <row r="1317" spans="1:2" x14ac:dyDescent="0.35">
      <c r="A1317" s="32" t="s">
        <v>1218</v>
      </c>
      <c r="B1317" s="32"/>
    </row>
    <row r="1318" spans="1:2" x14ac:dyDescent="0.35">
      <c r="A1318" s="32" t="s">
        <v>1219</v>
      </c>
      <c r="B1318" s="32"/>
    </row>
    <row r="1319" spans="1:2" x14ac:dyDescent="0.35">
      <c r="A1319" s="32" t="s">
        <v>1220</v>
      </c>
      <c r="B1319" s="32"/>
    </row>
    <row r="1320" spans="1:2" x14ac:dyDescent="0.35">
      <c r="A1320" s="32" t="s">
        <v>1221</v>
      </c>
      <c r="B1320" s="32"/>
    </row>
    <row r="1321" spans="1:2" x14ac:dyDescent="0.35">
      <c r="A1321" s="32" t="s">
        <v>1222</v>
      </c>
      <c r="B1321" s="32"/>
    </row>
    <row r="1322" spans="1:2" x14ac:dyDescent="0.35">
      <c r="A1322" s="32" t="s">
        <v>1223</v>
      </c>
      <c r="B1322" s="32"/>
    </row>
    <row r="1323" spans="1:2" x14ac:dyDescent="0.35">
      <c r="A1323" s="32" t="s">
        <v>1224</v>
      </c>
      <c r="B1323" s="32"/>
    </row>
    <row r="1324" spans="1:2" x14ac:dyDescent="0.35">
      <c r="A1324" s="32" t="s">
        <v>1225</v>
      </c>
      <c r="B1324" s="32"/>
    </row>
    <row r="1325" spans="1:2" x14ac:dyDescent="0.35">
      <c r="A1325" s="32" t="s">
        <v>1226</v>
      </c>
      <c r="B1325" s="32"/>
    </row>
    <row r="1326" spans="1:2" x14ac:dyDescent="0.35">
      <c r="A1326" s="32" t="s">
        <v>1227</v>
      </c>
      <c r="B1326" s="32"/>
    </row>
    <row r="1327" spans="1:2" x14ac:dyDescent="0.35">
      <c r="A1327" s="32" t="s">
        <v>1228</v>
      </c>
      <c r="B1327" s="32"/>
    </row>
    <row r="1328" spans="1:2" x14ac:dyDescent="0.35">
      <c r="A1328" s="32" t="s">
        <v>1229</v>
      </c>
      <c r="B1328" s="32"/>
    </row>
    <row r="1329" spans="1:2" x14ac:dyDescent="0.35">
      <c r="A1329" s="32" t="s">
        <v>1230</v>
      </c>
      <c r="B1329" s="32"/>
    </row>
    <row r="1330" spans="1:2" x14ac:dyDescent="0.35">
      <c r="A1330" s="32" t="s">
        <v>1231</v>
      </c>
      <c r="B1330" s="32"/>
    </row>
    <row r="1331" spans="1:2" x14ac:dyDescent="0.35">
      <c r="A1331" s="32" t="s">
        <v>1232</v>
      </c>
      <c r="B1331" s="32"/>
    </row>
    <row r="1332" spans="1:2" x14ac:dyDescent="0.35">
      <c r="A1332" s="32" t="s">
        <v>1233</v>
      </c>
      <c r="B1332" s="32"/>
    </row>
    <row r="1333" spans="1:2" x14ac:dyDescent="0.35">
      <c r="A1333" s="32" t="s">
        <v>1234</v>
      </c>
      <c r="B1333" s="32"/>
    </row>
    <row r="1334" spans="1:2" x14ac:dyDescent="0.35">
      <c r="A1334" s="32" t="s">
        <v>1235</v>
      </c>
      <c r="B1334" s="32"/>
    </row>
    <row r="1335" spans="1:2" x14ac:dyDescent="0.35">
      <c r="A1335" s="32" t="s">
        <v>1236</v>
      </c>
      <c r="B1335" s="32"/>
    </row>
    <row r="1336" spans="1:2" x14ac:dyDescent="0.35">
      <c r="A1336" s="32" t="s">
        <v>1237</v>
      </c>
      <c r="B1336" s="32"/>
    </row>
    <row r="1337" spans="1:2" x14ac:dyDescent="0.35">
      <c r="A1337" s="32" t="s">
        <v>1238</v>
      </c>
      <c r="B1337" s="32"/>
    </row>
    <row r="1338" spans="1:2" x14ac:dyDescent="0.35">
      <c r="A1338" s="32" t="s">
        <v>1239</v>
      </c>
      <c r="B1338" s="32"/>
    </row>
    <row r="1339" spans="1:2" x14ac:dyDescent="0.35">
      <c r="A1339" s="32" t="s">
        <v>1240</v>
      </c>
      <c r="B1339" s="32"/>
    </row>
    <row r="1340" spans="1:2" x14ac:dyDescent="0.35">
      <c r="A1340" s="32" t="s">
        <v>1241</v>
      </c>
      <c r="B1340" s="32"/>
    </row>
    <row r="1341" spans="1:2" x14ac:dyDescent="0.35">
      <c r="A1341" s="32" t="s">
        <v>1242</v>
      </c>
      <c r="B1341" s="32"/>
    </row>
    <row r="1342" spans="1:2" x14ac:dyDescent="0.35">
      <c r="A1342" s="32" t="s">
        <v>1243</v>
      </c>
      <c r="B1342" s="32"/>
    </row>
    <row r="1343" spans="1:2" x14ac:dyDescent="0.35">
      <c r="A1343" s="32" t="s">
        <v>1244</v>
      </c>
      <c r="B1343" s="32"/>
    </row>
    <row r="1344" spans="1:2" x14ac:dyDescent="0.35">
      <c r="A1344" s="32" t="s">
        <v>1245</v>
      </c>
      <c r="B1344" s="32"/>
    </row>
    <row r="1345" spans="1:2" x14ac:dyDescent="0.35">
      <c r="A1345" s="32" t="s">
        <v>1246</v>
      </c>
      <c r="B1345" s="32"/>
    </row>
    <row r="1346" spans="1:2" x14ac:dyDescent="0.35">
      <c r="A1346" s="32" t="s">
        <v>1247</v>
      </c>
      <c r="B1346" s="32"/>
    </row>
    <row r="1347" spans="1:2" x14ac:dyDescent="0.35">
      <c r="A1347" s="32" t="s">
        <v>1248</v>
      </c>
      <c r="B1347" s="32"/>
    </row>
    <row r="1348" spans="1:2" x14ac:dyDescent="0.35">
      <c r="A1348" s="32" t="s">
        <v>1249</v>
      </c>
      <c r="B1348" s="32"/>
    </row>
    <row r="1349" spans="1:2" x14ac:dyDescent="0.35">
      <c r="A1349" s="32" t="s">
        <v>1250</v>
      </c>
      <c r="B1349" s="32"/>
    </row>
    <row r="1350" spans="1:2" x14ac:dyDescent="0.35">
      <c r="A1350" s="32" t="s">
        <v>1251</v>
      </c>
      <c r="B1350" s="32"/>
    </row>
    <row r="1351" spans="1:2" x14ac:dyDescent="0.35">
      <c r="A1351" s="32" t="s">
        <v>1252</v>
      </c>
      <c r="B1351" s="32"/>
    </row>
    <row r="1352" spans="1:2" x14ac:dyDescent="0.35">
      <c r="A1352" s="32" t="s">
        <v>1253</v>
      </c>
      <c r="B1352" s="32"/>
    </row>
    <row r="1353" spans="1:2" x14ac:dyDescent="0.35">
      <c r="A1353" s="32" t="s">
        <v>1254</v>
      </c>
      <c r="B1353" s="32"/>
    </row>
    <row r="1354" spans="1:2" x14ac:dyDescent="0.35">
      <c r="A1354" s="32" t="s">
        <v>1255</v>
      </c>
      <c r="B1354" s="32"/>
    </row>
    <row r="1355" spans="1:2" x14ac:dyDescent="0.35">
      <c r="A1355" s="32" t="s">
        <v>1256</v>
      </c>
      <c r="B1355" s="32"/>
    </row>
    <row r="1356" spans="1:2" x14ac:dyDescent="0.35">
      <c r="A1356" s="32" t="s">
        <v>1257</v>
      </c>
      <c r="B1356" s="32"/>
    </row>
    <row r="1357" spans="1:2" x14ac:dyDescent="0.35">
      <c r="A1357" s="32" t="s">
        <v>1258</v>
      </c>
      <c r="B1357" s="32"/>
    </row>
    <row r="1358" spans="1:2" x14ac:dyDescent="0.35">
      <c r="A1358" s="32" t="s">
        <v>1259</v>
      </c>
      <c r="B1358" s="32"/>
    </row>
    <row r="1359" spans="1:2" x14ac:dyDescent="0.35">
      <c r="A1359" s="32" t="s">
        <v>1260</v>
      </c>
      <c r="B1359" s="32"/>
    </row>
    <row r="1360" spans="1:2" x14ac:dyDescent="0.35">
      <c r="A1360" s="32" t="s">
        <v>1261</v>
      </c>
      <c r="B1360" s="32"/>
    </row>
    <row r="1361" spans="1:2" x14ac:dyDescent="0.35">
      <c r="A1361" s="32" t="s">
        <v>1262</v>
      </c>
      <c r="B1361" s="32"/>
    </row>
    <row r="1362" spans="1:2" x14ac:dyDescent="0.35">
      <c r="A1362" s="32" t="s">
        <v>1263</v>
      </c>
      <c r="B1362" s="32"/>
    </row>
    <row r="1363" spans="1:2" x14ac:dyDescent="0.35">
      <c r="A1363" s="32" t="s">
        <v>1264</v>
      </c>
      <c r="B1363" s="32"/>
    </row>
    <row r="1364" spans="1:2" x14ac:dyDescent="0.35">
      <c r="A1364" s="32" t="s">
        <v>1265</v>
      </c>
      <c r="B1364" s="32"/>
    </row>
    <row r="1365" spans="1:2" x14ac:dyDescent="0.35">
      <c r="A1365" s="32" t="s">
        <v>1266</v>
      </c>
      <c r="B1365" s="32"/>
    </row>
    <row r="1366" spans="1:2" x14ac:dyDescent="0.35">
      <c r="A1366" s="32" t="s">
        <v>1267</v>
      </c>
      <c r="B1366" s="32"/>
    </row>
    <row r="1367" spans="1:2" x14ac:dyDescent="0.35">
      <c r="A1367" s="32" t="s">
        <v>1268</v>
      </c>
      <c r="B1367" s="32"/>
    </row>
    <row r="1368" spans="1:2" x14ac:dyDescent="0.35">
      <c r="A1368" s="32" t="s">
        <v>1269</v>
      </c>
      <c r="B1368" s="32"/>
    </row>
    <row r="1369" spans="1:2" x14ac:dyDescent="0.35">
      <c r="A1369" s="32" t="s">
        <v>1270</v>
      </c>
      <c r="B1369" s="32"/>
    </row>
    <row r="1370" spans="1:2" x14ac:dyDescent="0.35">
      <c r="A1370" s="32" t="s">
        <v>1271</v>
      </c>
      <c r="B1370" s="32"/>
    </row>
    <row r="1371" spans="1:2" x14ac:dyDescent="0.35">
      <c r="A1371" s="32" t="s">
        <v>1272</v>
      </c>
      <c r="B1371" s="32"/>
    </row>
    <row r="1372" spans="1:2" x14ac:dyDescent="0.35">
      <c r="A1372" s="32" t="s">
        <v>1273</v>
      </c>
      <c r="B1372" s="32"/>
    </row>
    <row r="1373" spans="1:2" x14ac:dyDescent="0.35">
      <c r="A1373" s="32" t="s">
        <v>1274</v>
      </c>
      <c r="B1373" s="32"/>
    </row>
    <row r="1374" spans="1:2" x14ac:dyDescent="0.35">
      <c r="A1374" s="32" t="s">
        <v>1275</v>
      </c>
      <c r="B1374" s="32"/>
    </row>
    <row r="1375" spans="1:2" x14ac:dyDescent="0.35">
      <c r="A1375" s="32" t="s">
        <v>1276</v>
      </c>
      <c r="B1375" s="32"/>
    </row>
    <row r="1376" spans="1:2" x14ac:dyDescent="0.35">
      <c r="A1376" s="32" t="s">
        <v>1277</v>
      </c>
      <c r="B1376" s="32"/>
    </row>
    <row r="1377" spans="1:2" x14ac:dyDescent="0.35">
      <c r="A1377" s="32" t="s">
        <v>1278</v>
      </c>
      <c r="B1377" s="32"/>
    </row>
    <row r="1378" spans="1:2" x14ac:dyDescent="0.35">
      <c r="A1378" s="32" t="s">
        <v>1279</v>
      </c>
      <c r="B1378" s="32"/>
    </row>
    <row r="1379" spans="1:2" x14ac:dyDescent="0.35">
      <c r="A1379" s="32" t="s">
        <v>1280</v>
      </c>
      <c r="B1379" s="32"/>
    </row>
    <row r="1380" spans="1:2" x14ac:dyDescent="0.35">
      <c r="A1380" s="32" t="s">
        <v>1281</v>
      </c>
      <c r="B1380" s="32"/>
    </row>
    <row r="1381" spans="1:2" x14ac:dyDescent="0.35">
      <c r="A1381" s="32" t="s">
        <v>1282</v>
      </c>
      <c r="B1381" s="32"/>
    </row>
    <row r="1382" spans="1:2" x14ac:dyDescent="0.35">
      <c r="A1382" s="32" t="s">
        <v>1283</v>
      </c>
      <c r="B1382" s="32"/>
    </row>
    <row r="1383" spans="1:2" x14ac:dyDescent="0.35">
      <c r="A1383" s="32" t="s">
        <v>1284</v>
      </c>
      <c r="B1383" s="32"/>
    </row>
    <row r="1384" spans="1:2" x14ac:dyDescent="0.35">
      <c r="A1384" s="32" t="s">
        <v>1285</v>
      </c>
      <c r="B1384" s="32"/>
    </row>
    <row r="1385" spans="1:2" x14ac:dyDescent="0.35">
      <c r="A1385" s="32" t="s">
        <v>1286</v>
      </c>
      <c r="B1385" s="32"/>
    </row>
    <row r="1386" spans="1:2" x14ac:dyDescent="0.35">
      <c r="A1386" s="32" t="s">
        <v>1287</v>
      </c>
      <c r="B1386" s="32"/>
    </row>
    <row r="1387" spans="1:2" x14ac:dyDescent="0.35">
      <c r="A1387" s="32" t="s">
        <v>1288</v>
      </c>
      <c r="B1387" s="32"/>
    </row>
    <row r="1388" spans="1:2" x14ac:dyDescent="0.35">
      <c r="A1388" s="32" t="s">
        <v>1289</v>
      </c>
      <c r="B1388" s="32"/>
    </row>
    <row r="1389" spans="1:2" x14ac:dyDescent="0.35">
      <c r="A1389" s="32" t="s">
        <v>1290</v>
      </c>
      <c r="B1389" s="32"/>
    </row>
    <row r="1390" spans="1:2" x14ac:dyDescent="0.35">
      <c r="A1390" s="32" t="s">
        <v>1291</v>
      </c>
      <c r="B1390" s="32"/>
    </row>
    <row r="1391" spans="1:2" x14ac:dyDescent="0.35">
      <c r="A1391" s="32" t="s">
        <v>1292</v>
      </c>
      <c r="B1391" s="32"/>
    </row>
    <row r="1392" spans="1:2" x14ac:dyDescent="0.35">
      <c r="A1392" s="32" t="s">
        <v>1293</v>
      </c>
      <c r="B1392" s="32"/>
    </row>
    <row r="1393" spans="1:2" x14ac:dyDescent="0.35">
      <c r="A1393" s="32" t="s">
        <v>1294</v>
      </c>
      <c r="B1393" s="32"/>
    </row>
    <row r="1394" spans="1:2" x14ac:dyDescent="0.35">
      <c r="A1394" s="32" t="s">
        <v>1295</v>
      </c>
      <c r="B1394" s="32"/>
    </row>
    <row r="1395" spans="1:2" x14ac:dyDescent="0.35">
      <c r="A1395" s="32" t="s">
        <v>1296</v>
      </c>
      <c r="B1395" s="32"/>
    </row>
    <row r="1396" spans="1:2" x14ac:dyDescent="0.35">
      <c r="A1396" s="32" t="s">
        <v>1297</v>
      </c>
      <c r="B1396" s="32"/>
    </row>
    <row r="1397" spans="1:2" x14ac:dyDescent="0.35">
      <c r="A1397" s="32" t="s">
        <v>1298</v>
      </c>
      <c r="B1397" s="32"/>
    </row>
    <row r="1398" spans="1:2" x14ac:dyDescent="0.35">
      <c r="A1398" s="32" t="s">
        <v>1299</v>
      </c>
      <c r="B1398" s="32"/>
    </row>
    <row r="1399" spans="1:2" x14ac:dyDescent="0.35">
      <c r="A1399" s="32" t="s">
        <v>1300</v>
      </c>
      <c r="B1399" s="32"/>
    </row>
    <row r="1400" spans="1:2" x14ac:dyDescent="0.35">
      <c r="A1400" s="32" t="s">
        <v>1301</v>
      </c>
      <c r="B1400" s="32"/>
    </row>
    <row r="1401" spans="1:2" x14ac:dyDescent="0.35">
      <c r="A1401" s="32" t="s">
        <v>1302</v>
      </c>
      <c r="B1401" s="32"/>
    </row>
    <row r="1402" spans="1:2" x14ac:dyDescent="0.35">
      <c r="A1402" s="32" t="s">
        <v>1303</v>
      </c>
      <c r="B1402" s="32"/>
    </row>
    <row r="1403" spans="1:2" x14ac:dyDescent="0.35">
      <c r="A1403" s="32" t="s">
        <v>1304</v>
      </c>
      <c r="B1403" s="32"/>
    </row>
    <row r="1404" spans="1:2" x14ac:dyDescent="0.35">
      <c r="A1404" s="32" t="s">
        <v>1305</v>
      </c>
      <c r="B1404" s="32"/>
    </row>
    <row r="1405" spans="1:2" x14ac:dyDescent="0.35">
      <c r="A1405" s="32" t="s">
        <v>1306</v>
      </c>
      <c r="B1405" s="32"/>
    </row>
    <row r="1406" spans="1:2" x14ac:dyDescent="0.35">
      <c r="A1406" s="32" t="s">
        <v>1307</v>
      </c>
      <c r="B1406" s="32"/>
    </row>
    <row r="1407" spans="1:2" x14ac:dyDescent="0.35">
      <c r="A1407" s="32" t="s">
        <v>1308</v>
      </c>
      <c r="B1407" s="32"/>
    </row>
    <row r="1408" spans="1:2" x14ac:dyDescent="0.35">
      <c r="A1408" s="32" t="s">
        <v>1309</v>
      </c>
      <c r="B1408" s="32"/>
    </row>
    <row r="1409" spans="1:2" x14ac:dyDescent="0.35">
      <c r="A1409" s="32" t="s">
        <v>1310</v>
      </c>
      <c r="B1409" s="32"/>
    </row>
    <row r="1410" spans="1:2" x14ac:dyDescent="0.35">
      <c r="A1410" s="32" t="s">
        <v>1311</v>
      </c>
      <c r="B1410" s="32"/>
    </row>
    <row r="1411" spans="1:2" x14ac:dyDescent="0.35">
      <c r="A1411" s="32" t="s">
        <v>1312</v>
      </c>
      <c r="B1411" s="32"/>
    </row>
    <row r="1412" spans="1:2" x14ac:dyDescent="0.35">
      <c r="A1412" s="32" t="s">
        <v>1313</v>
      </c>
      <c r="B1412" s="32"/>
    </row>
    <row r="1413" spans="1:2" x14ac:dyDescent="0.35">
      <c r="A1413" s="32" t="s">
        <v>1314</v>
      </c>
      <c r="B1413" s="32"/>
    </row>
    <row r="1414" spans="1:2" x14ac:dyDescent="0.35">
      <c r="A1414" s="32" t="s">
        <v>1315</v>
      </c>
      <c r="B1414" s="32"/>
    </row>
    <row r="1415" spans="1:2" x14ac:dyDescent="0.35">
      <c r="A1415" s="32" t="s">
        <v>1316</v>
      </c>
      <c r="B1415" s="32"/>
    </row>
    <row r="1416" spans="1:2" x14ac:dyDescent="0.35">
      <c r="A1416" s="32" t="s">
        <v>1317</v>
      </c>
      <c r="B1416" s="32"/>
    </row>
    <row r="1417" spans="1:2" x14ac:dyDescent="0.35">
      <c r="A1417" s="32" t="s">
        <v>1318</v>
      </c>
      <c r="B1417" s="32"/>
    </row>
    <row r="1418" spans="1:2" x14ac:dyDescent="0.35">
      <c r="A1418" s="32" t="s">
        <v>1319</v>
      </c>
      <c r="B1418" s="32"/>
    </row>
    <row r="1419" spans="1:2" x14ac:dyDescent="0.35">
      <c r="A1419" s="32" t="s">
        <v>1320</v>
      </c>
      <c r="B1419" s="32"/>
    </row>
    <row r="1420" spans="1:2" x14ac:dyDescent="0.35">
      <c r="A1420" s="32" t="s">
        <v>1321</v>
      </c>
      <c r="B1420" s="32"/>
    </row>
    <row r="1421" spans="1:2" x14ac:dyDescent="0.35">
      <c r="A1421" s="32" t="s">
        <v>1322</v>
      </c>
      <c r="B1421" s="32"/>
    </row>
    <row r="1422" spans="1:2" x14ac:dyDescent="0.35">
      <c r="A1422" s="32" t="s">
        <v>1323</v>
      </c>
      <c r="B1422" s="32"/>
    </row>
    <row r="1423" spans="1:2" x14ac:dyDescent="0.35">
      <c r="A1423" s="32" t="s">
        <v>1324</v>
      </c>
      <c r="B1423" s="32"/>
    </row>
    <row r="1424" spans="1:2" x14ac:dyDescent="0.35">
      <c r="A1424" s="32" t="s">
        <v>1325</v>
      </c>
      <c r="B1424" s="32"/>
    </row>
    <row r="1425" spans="1:2" x14ac:dyDescent="0.35">
      <c r="A1425" s="32" t="s">
        <v>1326</v>
      </c>
      <c r="B1425" s="32"/>
    </row>
    <row r="1426" spans="1:2" x14ac:dyDescent="0.35">
      <c r="A1426" s="32" t="s">
        <v>1327</v>
      </c>
      <c r="B1426" s="32"/>
    </row>
    <row r="1427" spans="1:2" x14ac:dyDescent="0.35">
      <c r="A1427" s="32" t="s">
        <v>1328</v>
      </c>
      <c r="B1427" s="32"/>
    </row>
    <row r="1428" spans="1:2" x14ac:dyDescent="0.35">
      <c r="A1428" s="32" t="s">
        <v>1329</v>
      </c>
      <c r="B1428" s="32"/>
    </row>
    <row r="1429" spans="1:2" x14ac:dyDescent="0.35">
      <c r="A1429" s="32" t="s">
        <v>1330</v>
      </c>
      <c r="B1429" s="32"/>
    </row>
    <row r="1430" spans="1:2" x14ac:dyDescent="0.35">
      <c r="A1430" s="32" t="s">
        <v>1331</v>
      </c>
      <c r="B1430" s="32"/>
    </row>
    <row r="1431" spans="1:2" x14ac:dyDescent="0.35">
      <c r="A1431" s="32" t="s">
        <v>1332</v>
      </c>
      <c r="B1431" s="32"/>
    </row>
    <row r="1432" spans="1:2" x14ac:dyDescent="0.35">
      <c r="A1432" s="32" t="s">
        <v>1333</v>
      </c>
      <c r="B1432" s="32"/>
    </row>
    <row r="1433" spans="1:2" x14ac:dyDescent="0.35">
      <c r="A1433" s="32" t="s">
        <v>1334</v>
      </c>
      <c r="B1433" s="32"/>
    </row>
    <row r="1434" spans="1:2" x14ac:dyDescent="0.35">
      <c r="A1434" s="32" t="s">
        <v>1335</v>
      </c>
      <c r="B1434" s="32"/>
    </row>
    <row r="1435" spans="1:2" x14ac:dyDescent="0.35">
      <c r="A1435" s="32" t="s">
        <v>1336</v>
      </c>
      <c r="B1435" s="32"/>
    </row>
    <row r="1436" spans="1:2" x14ac:dyDescent="0.35">
      <c r="A1436" s="32" t="s">
        <v>1337</v>
      </c>
      <c r="B1436" s="32"/>
    </row>
    <row r="1437" spans="1:2" x14ac:dyDescent="0.35">
      <c r="A1437" s="32" t="s">
        <v>1338</v>
      </c>
      <c r="B1437" s="32"/>
    </row>
    <row r="1438" spans="1:2" x14ac:dyDescent="0.35">
      <c r="A1438" s="32" t="s">
        <v>1339</v>
      </c>
      <c r="B1438" s="32"/>
    </row>
    <row r="1439" spans="1:2" x14ac:dyDescent="0.35">
      <c r="A1439" s="32" t="s">
        <v>1340</v>
      </c>
      <c r="B1439" s="32"/>
    </row>
    <row r="1440" spans="1:2" x14ac:dyDescent="0.35">
      <c r="A1440" s="32" t="s">
        <v>1341</v>
      </c>
      <c r="B1440" s="32"/>
    </row>
    <row r="1441" spans="1:2" x14ac:dyDescent="0.35">
      <c r="A1441" s="32" t="s">
        <v>1342</v>
      </c>
      <c r="B1441" s="32"/>
    </row>
    <row r="1442" spans="1:2" x14ac:dyDescent="0.35">
      <c r="A1442" s="32" t="s">
        <v>1343</v>
      </c>
      <c r="B1442" s="32"/>
    </row>
    <row r="1443" spans="1:2" x14ac:dyDescent="0.35">
      <c r="A1443" s="32" t="s">
        <v>1344</v>
      </c>
      <c r="B1443" s="32"/>
    </row>
    <row r="1444" spans="1:2" x14ac:dyDescent="0.35">
      <c r="A1444" s="32" t="s">
        <v>1345</v>
      </c>
      <c r="B1444" s="32"/>
    </row>
    <row r="1445" spans="1:2" x14ac:dyDescent="0.35">
      <c r="A1445" s="32" t="s">
        <v>1346</v>
      </c>
      <c r="B1445" s="32"/>
    </row>
    <row r="1446" spans="1:2" x14ac:dyDescent="0.35">
      <c r="A1446" s="32" t="s">
        <v>1347</v>
      </c>
      <c r="B1446" s="32"/>
    </row>
    <row r="1447" spans="1:2" x14ac:dyDescent="0.35">
      <c r="A1447" s="32" t="s">
        <v>1348</v>
      </c>
      <c r="B1447" s="32"/>
    </row>
    <row r="1448" spans="1:2" x14ac:dyDescent="0.35">
      <c r="A1448" s="32" t="s">
        <v>1349</v>
      </c>
      <c r="B1448" s="32"/>
    </row>
    <row r="1449" spans="1:2" x14ac:dyDescent="0.35">
      <c r="A1449" s="32" t="s">
        <v>1350</v>
      </c>
      <c r="B1449" s="32"/>
    </row>
    <row r="1450" spans="1:2" x14ac:dyDescent="0.35">
      <c r="A1450" s="32" t="s">
        <v>1351</v>
      </c>
      <c r="B1450" s="32"/>
    </row>
    <row r="1451" spans="1:2" x14ac:dyDescent="0.35">
      <c r="A1451" s="32" t="s">
        <v>1352</v>
      </c>
      <c r="B1451" s="32"/>
    </row>
    <row r="1452" spans="1:2" x14ac:dyDescent="0.35">
      <c r="A1452" s="32" t="s">
        <v>1353</v>
      </c>
      <c r="B1452" s="32"/>
    </row>
    <row r="1453" spans="1:2" x14ac:dyDescent="0.35">
      <c r="A1453" s="32" t="s">
        <v>1354</v>
      </c>
      <c r="B1453" s="32"/>
    </row>
    <row r="1454" spans="1:2" x14ac:dyDescent="0.35">
      <c r="A1454" s="32" t="s">
        <v>1355</v>
      </c>
      <c r="B1454" s="32"/>
    </row>
    <row r="1455" spans="1:2" x14ac:dyDescent="0.35">
      <c r="A1455" s="32" t="s">
        <v>1356</v>
      </c>
      <c r="B1455" s="32"/>
    </row>
    <row r="1456" spans="1:2" x14ac:dyDescent="0.35">
      <c r="A1456" s="32" t="s">
        <v>1357</v>
      </c>
      <c r="B1456" s="32"/>
    </row>
    <row r="1457" spans="1:2" x14ac:dyDescent="0.35">
      <c r="A1457" s="32" t="s">
        <v>1358</v>
      </c>
      <c r="B1457" s="32"/>
    </row>
    <row r="1458" spans="1:2" x14ac:dyDescent="0.35">
      <c r="A1458" s="32" t="s">
        <v>1359</v>
      </c>
      <c r="B1458" s="32"/>
    </row>
    <row r="1459" spans="1:2" x14ac:dyDescent="0.35">
      <c r="A1459" s="32" t="s">
        <v>1360</v>
      </c>
      <c r="B1459" s="32"/>
    </row>
    <row r="1460" spans="1:2" x14ac:dyDescent="0.35">
      <c r="A1460" s="32" t="s">
        <v>1361</v>
      </c>
      <c r="B1460" s="32"/>
    </row>
    <row r="1461" spans="1:2" x14ac:dyDescent="0.35">
      <c r="A1461" s="32" t="s">
        <v>1362</v>
      </c>
      <c r="B1461" s="32"/>
    </row>
    <row r="1462" spans="1:2" x14ac:dyDescent="0.35">
      <c r="A1462" s="32" t="s">
        <v>1363</v>
      </c>
      <c r="B1462" s="32"/>
    </row>
    <row r="1463" spans="1:2" x14ac:dyDescent="0.35">
      <c r="A1463" s="32" t="s">
        <v>1364</v>
      </c>
      <c r="B1463" s="32"/>
    </row>
    <row r="1464" spans="1:2" x14ac:dyDescent="0.35">
      <c r="A1464" s="32" t="s">
        <v>1365</v>
      </c>
      <c r="B1464" s="32"/>
    </row>
    <row r="1465" spans="1:2" x14ac:dyDescent="0.35">
      <c r="A1465" s="32" t="s">
        <v>1366</v>
      </c>
      <c r="B1465" s="32"/>
    </row>
    <row r="1466" spans="1:2" x14ac:dyDescent="0.35">
      <c r="A1466" s="32" t="s">
        <v>1367</v>
      </c>
      <c r="B1466" s="32"/>
    </row>
    <row r="1467" spans="1:2" x14ac:dyDescent="0.35">
      <c r="A1467" s="32" t="s">
        <v>1368</v>
      </c>
      <c r="B1467" s="32"/>
    </row>
    <row r="1468" spans="1:2" x14ac:dyDescent="0.35">
      <c r="A1468" s="32" t="s">
        <v>1369</v>
      </c>
      <c r="B1468" s="32"/>
    </row>
    <row r="1469" spans="1:2" x14ac:dyDescent="0.35">
      <c r="A1469" s="32" t="s">
        <v>1370</v>
      </c>
      <c r="B1469" s="32"/>
    </row>
    <row r="1470" spans="1:2" x14ac:dyDescent="0.35">
      <c r="A1470" s="32" t="s">
        <v>1371</v>
      </c>
      <c r="B1470" s="32"/>
    </row>
    <row r="1471" spans="1:2" x14ac:dyDescent="0.35">
      <c r="A1471" s="32" t="s">
        <v>1372</v>
      </c>
      <c r="B1471" s="32"/>
    </row>
    <row r="1472" spans="1:2" x14ac:dyDescent="0.35">
      <c r="A1472" s="32" t="s">
        <v>1373</v>
      </c>
      <c r="B1472" s="32"/>
    </row>
    <row r="1473" spans="1:2" x14ac:dyDescent="0.35">
      <c r="A1473" s="32" t="s">
        <v>1374</v>
      </c>
      <c r="B1473" s="32"/>
    </row>
    <row r="1474" spans="1:2" x14ac:dyDescent="0.35">
      <c r="A1474" s="32" t="s">
        <v>1375</v>
      </c>
      <c r="B1474" s="32"/>
    </row>
    <row r="1475" spans="1:2" x14ac:dyDescent="0.35">
      <c r="A1475" s="32" t="s">
        <v>1376</v>
      </c>
      <c r="B1475" s="32"/>
    </row>
    <row r="1476" spans="1:2" x14ac:dyDescent="0.35">
      <c r="A1476" s="32" t="s">
        <v>1377</v>
      </c>
      <c r="B1476" s="32"/>
    </row>
    <row r="1477" spans="1:2" x14ac:dyDescent="0.35">
      <c r="A1477" s="32" t="s">
        <v>1378</v>
      </c>
      <c r="B1477" s="32"/>
    </row>
    <row r="1478" spans="1:2" x14ac:dyDescent="0.35">
      <c r="A1478" s="32" t="s">
        <v>1379</v>
      </c>
      <c r="B1478" s="32"/>
    </row>
    <row r="1479" spans="1:2" x14ac:dyDescent="0.35">
      <c r="A1479" s="32" t="s">
        <v>1380</v>
      </c>
      <c r="B1479" s="32"/>
    </row>
    <row r="1480" spans="1:2" x14ac:dyDescent="0.35">
      <c r="A1480" s="32" t="s">
        <v>1381</v>
      </c>
      <c r="B1480" s="32"/>
    </row>
    <row r="1481" spans="1:2" x14ac:dyDescent="0.35">
      <c r="A1481" s="32" t="s">
        <v>1382</v>
      </c>
      <c r="B1481" s="32"/>
    </row>
    <row r="1482" spans="1:2" x14ac:dyDescent="0.35">
      <c r="A1482" s="32" t="s">
        <v>1383</v>
      </c>
      <c r="B1482" s="32"/>
    </row>
    <row r="1483" spans="1:2" x14ac:dyDescent="0.35">
      <c r="A1483" s="32" t="s">
        <v>1384</v>
      </c>
      <c r="B1483" s="32"/>
    </row>
    <row r="1484" spans="1:2" x14ac:dyDescent="0.35">
      <c r="A1484" s="32" t="s">
        <v>1385</v>
      </c>
      <c r="B1484" s="32"/>
    </row>
    <row r="1485" spans="1:2" x14ac:dyDescent="0.35">
      <c r="A1485" s="32" t="s">
        <v>1386</v>
      </c>
      <c r="B1485" s="32"/>
    </row>
    <row r="1486" spans="1:2" x14ac:dyDescent="0.35">
      <c r="A1486" s="32" t="s">
        <v>1387</v>
      </c>
      <c r="B1486" s="32"/>
    </row>
    <row r="1487" spans="1:2" x14ac:dyDescent="0.35">
      <c r="A1487" s="32" t="s">
        <v>1388</v>
      </c>
      <c r="B1487" s="32"/>
    </row>
    <row r="1488" spans="1:2" x14ac:dyDescent="0.35">
      <c r="A1488" s="32" t="s">
        <v>1389</v>
      </c>
      <c r="B1488" s="32"/>
    </row>
    <row r="1489" spans="1:2" x14ac:dyDescent="0.35">
      <c r="A1489" s="32" t="s">
        <v>1390</v>
      </c>
      <c r="B1489" s="32"/>
    </row>
    <row r="1490" spans="1:2" x14ac:dyDescent="0.35">
      <c r="A1490" s="32" t="s">
        <v>1391</v>
      </c>
      <c r="B1490" s="32"/>
    </row>
    <row r="1491" spans="1:2" x14ac:dyDescent="0.35">
      <c r="A1491" s="32" t="s">
        <v>1392</v>
      </c>
      <c r="B1491" s="32"/>
    </row>
    <row r="1492" spans="1:2" x14ac:dyDescent="0.35">
      <c r="A1492" s="32" t="s">
        <v>1393</v>
      </c>
      <c r="B1492" s="32"/>
    </row>
    <row r="1493" spans="1:2" x14ac:dyDescent="0.35">
      <c r="A1493" s="32" t="s">
        <v>1394</v>
      </c>
      <c r="B1493" s="32"/>
    </row>
    <row r="1494" spans="1:2" x14ac:dyDescent="0.35">
      <c r="A1494" s="32" t="s">
        <v>1395</v>
      </c>
      <c r="B1494" s="32"/>
    </row>
    <row r="1495" spans="1:2" x14ac:dyDescent="0.35">
      <c r="A1495" s="32" t="s">
        <v>1396</v>
      </c>
      <c r="B1495" s="32"/>
    </row>
    <row r="1496" spans="1:2" x14ac:dyDescent="0.35">
      <c r="A1496" s="32" t="s">
        <v>1397</v>
      </c>
      <c r="B1496" s="32"/>
    </row>
    <row r="1497" spans="1:2" x14ac:dyDescent="0.35">
      <c r="A1497" s="32" t="s">
        <v>1398</v>
      </c>
      <c r="B1497" s="32"/>
    </row>
    <row r="1498" spans="1:2" x14ac:dyDescent="0.35">
      <c r="A1498" s="32" t="s">
        <v>1399</v>
      </c>
      <c r="B1498" s="32"/>
    </row>
    <row r="1499" spans="1:2" x14ac:dyDescent="0.35">
      <c r="A1499" s="32" t="s">
        <v>1400</v>
      </c>
      <c r="B1499" s="32"/>
    </row>
    <row r="1500" spans="1:2" x14ac:dyDescent="0.35">
      <c r="A1500" s="32" t="s">
        <v>1401</v>
      </c>
      <c r="B1500" s="32"/>
    </row>
    <row r="1501" spans="1:2" x14ac:dyDescent="0.35">
      <c r="A1501" s="32" t="s">
        <v>1402</v>
      </c>
      <c r="B1501" s="32"/>
    </row>
    <row r="1502" spans="1:2" x14ac:dyDescent="0.35">
      <c r="A1502" s="32" t="s">
        <v>1403</v>
      </c>
      <c r="B1502" s="32"/>
    </row>
    <row r="1503" spans="1:2" x14ac:dyDescent="0.35">
      <c r="A1503" s="32" t="s">
        <v>1404</v>
      </c>
      <c r="B1503" s="32"/>
    </row>
    <row r="1504" spans="1:2" x14ac:dyDescent="0.35">
      <c r="A1504" s="32" t="s">
        <v>1405</v>
      </c>
      <c r="B1504" s="32"/>
    </row>
    <row r="1505" spans="1:2" x14ac:dyDescent="0.35">
      <c r="A1505" s="32" t="s">
        <v>1406</v>
      </c>
      <c r="B1505" s="32"/>
    </row>
    <row r="1506" spans="1:2" x14ac:dyDescent="0.35">
      <c r="A1506" s="32" t="s">
        <v>1407</v>
      </c>
      <c r="B1506" s="32"/>
    </row>
    <row r="1507" spans="1:2" x14ac:dyDescent="0.35">
      <c r="A1507" s="32" t="s">
        <v>1408</v>
      </c>
      <c r="B1507" s="32"/>
    </row>
    <row r="1508" spans="1:2" x14ac:dyDescent="0.35">
      <c r="A1508" s="32" t="s">
        <v>1409</v>
      </c>
      <c r="B1508" s="32"/>
    </row>
    <row r="1509" spans="1:2" x14ac:dyDescent="0.35">
      <c r="A1509" s="32" t="s">
        <v>1410</v>
      </c>
      <c r="B1509" s="32"/>
    </row>
    <row r="1510" spans="1:2" x14ac:dyDescent="0.35">
      <c r="A1510" s="32" t="s">
        <v>1411</v>
      </c>
      <c r="B1510" s="32"/>
    </row>
    <row r="1511" spans="1:2" x14ac:dyDescent="0.35">
      <c r="A1511" s="32" t="s">
        <v>1412</v>
      </c>
      <c r="B1511" s="32"/>
    </row>
    <row r="1512" spans="1:2" x14ac:dyDescent="0.35">
      <c r="A1512" s="32" t="s">
        <v>1413</v>
      </c>
      <c r="B1512" s="32"/>
    </row>
    <row r="1513" spans="1:2" x14ac:dyDescent="0.35">
      <c r="A1513" s="32" t="s">
        <v>1414</v>
      </c>
      <c r="B1513" s="32"/>
    </row>
    <row r="1514" spans="1:2" x14ac:dyDescent="0.35">
      <c r="A1514" s="32" t="s">
        <v>1415</v>
      </c>
      <c r="B1514" s="32"/>
    </row>
    <row r="1515" spans="1:2" x14ac:dyDescent="0.35">
      <c r="A1515" s="32" t="s">
        <v>1416</v>
      </c>
      <c r="B1515" s="32"/>
    </row>
    <row r="1516" spans="1:2" x14ac:dyDescent="0.35">
      <c r="A1516" s="32" t="s">
        <v>1417</v>
      </c>
      <c r="B1516" s="32"/>
    </row>
    <row r="1517" spans="1:2" x14ac:dyDescent="0.35">
      <c r="A1517" s="32" t="s">
        <v>1418</v>
      </c>
      <c r="B1517" s="32"/>
    </row>
    <row r="1518" spans="1:2" x14ac:dyDescent="0.35">
      <c r="A1518" s="32" t="s">
        <v>1419</v>
      </c>
      <c r="B1518" s="32"/>
    </row>
    <row r="1519" spans="1:2" x14ac:dyDescent="0.35">
      <c r="A1519" s="32" t="s">
        <v>1420</v>
      </c>
      <c r="B1519" s="32"/>
    </row>
    <row r="1520" spans="1:2" x14ac:dyDescent="0.35">
      <c r="A1520" s="32" t="s">
        <v>1421</v>
      </c>
      <c r="B1520" s="32"/>
    </row>
    <row r="1521" spans="1:2" x14ac:dyDescent="0.35">
      <c r="A1521" s="32" t="s">
        <v>1422</v>
      </c>
      <c r="B1521" s="32"/>
    </row>
    <row r="1522" spans="1:2" x14ac:dyDescent="0.35">
      <c r="A1522" s="32" t="s">
        <v>1423</v>
      </c>
      <c r="B1522" s="32"/>
    </row>
    <row r="1523" spans="1:2" x14ac:dyDescent="0.35">
      <c r="A1523" s="32" t="s">
        <v>1424</v>
      </c>
      <c r="B1523" s="32"/>
    </row>
    <row r="1524" spans="1:2" x14ac:dyDescent="0.35">
      <c r="A1524" s="32" t="s">
        <v>1425</v>
      </c>
      <c r="B1524" s="32"/>
    </row>
    <row r="1525" spans="1:2" x14ac:dyDescent="0.35">
      <c r="A1525" s="32" t="s">
        <v>1426</v>
      </c>
      <c r="B1525" s="32"/>
    </row>
    <row r="1526" spans="1:2" x14ac:dyDescent="0.35">
      <c r="A1526" s="32" t="s">
        <v>1427</v>
      </c>
      <c r="B1526" s="32"/>
    </row>
    <row r="1527" spans="1:2" x14ac:dyDescent="0.35">
      <c r="A1527" s="32" t="s">
        <v>1428</v>
      </c>
      <c r="B1527" s="32"/>
    </row>
    <row r="1528" spans="1:2" x14ac:dyDescent="0.35">
      <c r="A1528" s="32" t="s">
        <v>1429</v>
      </c>
      <c r="B1528" s="32"/>
    </row>
    <row r="1529" spans="1:2" x14ac:dyDescent="0.35">
      <c r="A1529" s="32" t="s">
        <v>1430</v>
      </c>
      <c r="B1529" s="32"/>
    </row>
    <row r="1530" spans="1:2" x14ac:dyDescent="0.35">
      <c r="A1530" s="32" t="s">
        <v>1431</v>
      </c>
      <c r="B1530" s="32"/>
    </row>
    <row r="1531" spans="1:2" x14ac:dyDescent="0.35">
      <c r="A1531" s="32" t="s">
        <v>1432</v>
      </c>
      <c r="B1531" s="32"/>
    </row>
    <row r="1532" spans="1:2" x14ac:dyDescent="0.35">
      <c r="A1532" s="32" t="s">
        <v>1433</v>
      </c>
      <c r="B1532" s="32"/>
    </row>
    <row r="1533" spans="1:2" x14ac:dyDescent="0.35">
      <c r="A1533" s="32" t="s">
        <v>1434</v>
      </c>
      <c r="B1533" s="32"/>
    </row>
    <row r="1534" spans="1:2" x14ac:dyDescent="0.35">
      <c r="A1534" s="32" t="s">
        <v>1435</v>
      </c>
      <c r="B1534" s="32"/>
    </row>
    <row r="1535" spans="1:2" x14ac:dyDescent="0.35">
      <c r="A1535" s="32" t="s">
        <v>1436</v>
      </c>
      <c r="B1535" s="32"/>
    </row>
    <row r="1536" spans="1:2" x14ac:dyDescent="0.35">
      <c r="A1536" s="32" t="s">
        <v>1437</v>
      </c>
      <c r="B1536" s="32"/>
    </row>
    <row r="1537" spans="1:2" x14ac:dyDescent="0.35">
      <c r="A1537" s="32" t="s">
        <v>1438</v>
      </c>
      <c r="B1537" s="32"/>
    </row>
    <row r="1538" spans="1:2" x14ac:dyDescent="0.35">
      <c r="A1538" s="32" t="s">
        <v>1439</v>
      </c>
      <c r="B1538" s="32"/>
    </row>
    <row r="1539" spans="1:2" x14ac:dyDescent="0.35">
      <c r="A1539" s="32" t="s">
        <v>1440</v>
      </c>
      <c r="B1539" s="32"/>
    </row>
    <row r="1540" spans="1:2" x14ac:dyDescent="0.35">
      <c r="A1540" s="32" t="s">
        <v>1441</v>
      </c>
      <c r="B1540" s="32"/>
    </row>
    <row r="1541" spans="1:2" x14ac:dyDescent="0.35">
      <c r="A1541" s="32" t="s">
        <v>1442</v>
      </c>
      <c r="B1541" s="32"/>
    </row>
    <row r="1542" spans="1:2" x14ac:dyDescent="0.35">
      <c r="A1542" s="32" t="s">
        <v>1443</v>
      </c>
      <c r="B1542" s="32"/>
    </row>
    <row r="1543" spans="1:2" x14ac:dyDescent="0.35">
      <c r="A1543" s="32" t="s">
        <v>1444</v>
      </c>
      <c r="B1543" s="32"/>
    </row>
    <row r="1544" spans="1:2" x14ac:dyDescent="0.35">
      <c r="A1544" s="32" t="s">
        <v>1445</v>
      </c>
      <c r="B1544" s="32"/>
    </row>
    <row r="1545" spans="1:2" x14ac:dyDescent="0.35">
      <c r="A1545" s="32" t="s">
        <v>1446</v>
      </c>
      <c r="B1545" s="32"/>
    </row>
    <row r="1546" spans="1:2" x14ac:dyDescent="0.35">
      <c r="A1546" s="32" t="s">
        <v>1447</v>
      </c>
      <c r="B1546" s="32"/>
    </row>
    <row r="1547" spans="1:2" x14ac:dyDescent="0.35">
      <c r="A1547" s="32" t="s">
        <v>1448</v>
      </c>
      <c r="B1547" s="32"/>
    </row>
    <row r="1548" spans="1:2" x14ac:dyDescent="0.35">
      <c r="A1548" s="32" t="s">
        <v>1449</v>
      </c>
      <c r="B1548" s="32"/>
    </row>
    <row r="1549" spans="1:2" x14ac:dyDescent="0.35">
      <c r="A1549" s="32" t="s">
        <v>1450</v>
      </c>
      <c r="B1549" s="32"/>
    </row>
    <row r="1550" spans="1:2" x14ac:dyDescent="0.35">
      <c r="A1550" s="32" t="s">
        <v>1451</v>
      </c>
      <c r="B1550" s="32"/>
    </row>
    <row r="1551" spans="1:2" x14ac:dyDescent="0.35">
      <c r="A1551" s="32" t="s">
        <v>1452</v>
      </c>
      <c r="B1551" s="32"/>
    </row>
    <row r="1552" spans="1:2" x14ac:dyDescent="0.35">
      <c r="A1552" s="32" t="s">
        <v>1453</v>
      </c>
      <c r="B1552" s="32"/>
    </row>
    <row r="1553" spans="1:2" x14ac:dyDescent="0.35">
      <c r="A1553" s="32" t="s">
        <v>1454</v>
      </c>
      <c r="B1553" s="32"/>
    </row>
    <row r="1554" spans="1:2" x14ac:dyDescent="0.35">
      <c r="A1554" s="32" t="s">
        <v>1455</v>
      </c>
      <c r="B1554" s="32"/>
    </row>
    <row r="1555" spans="1:2" x14ac:dyDescent="0.35">
      <c r="A1555" s="32" t="s">
        <v>1456</v>
      </c>
      <c r="B1555" s="32"/>
    </row>
    <row r="1556" spans="1:2" x14ac:dyDescent="0.35">
      <c r="A1556" s="32" t="s">
        <v>1457</v>
      </c>
      <c r="B1556" s="32"/>
    </row>
    <row r="1557" spans="1:2" x14ac:dyDescent="0.35">
      <c r="A1557" s="32" t="s">
        <v>1458</v>
      </c>
      <c r="B1557" s="32"/>
    </row>
    <row r="1558" spans="1:2" x14ac:dyDescent="0.35">
      <c r="A1558" s="32" t="s">
        <v>1459</v>
      </c>
      <c r="B1558" s="32"/>
    </row>
    <row r="1559" spans="1:2" x14ac:dyDescent="0.35">
      <c r="A1559" s="32" t="s">
        <v>1460</v>
      </c>
      <c r="B1559" s="32"/>
    </row>
    <row r="1560" spans="1:2" x14ac:dyDescent="0.35">
      <c r="A1560" s="32" t="s">
        <v>1461</v>
      </c>
      <c r="B1560" s="32"/>
    </row>
    <row r="1561" spans="1:2" x14ac:dyDescent="0.35">
      <c r="A1561" s="32" t="s">
        <v>1462</v>
      </c>
      <c r="B1561" s="32"/>
    </row>
    <row r="1562" spans="1:2" x14ac:dyDescent="0.35">
      <c r="A1562" s="32" t="s">
        <v>1463</v>
      </c>
      <c r="B1562" s="32"/>
    </row>
    <row r="1563" spans="1:2" x14ac:dyDescent="0.35">
      <c r="A1563" s="32" t="s">
        <v>1464</v>
      </c>
      <c r="B1563" s="32"/>
    </row>
    <row r="1564" spans="1:2" x14ac:dyDescent="0.35">
      <c r="A1564" s="32" t="s">
        <v>1465</v>
      </c>
      <c r="B1564" s="32"/>
    </row>
    <row r="1565" spans="1:2" x14ac:dyDescent="0.35">
      <c r="A1565" s="32" t="s">
        <v>1466</v>
      </c>
      <c r="B1565" s="32"/>
    </row>
    <row r="1566" spans="1:2" x14ac:dyDescent="0.35">
      <c r="A1566" s="32" t="s">
        <v>1467</v>
      </c>
      <c r="B1566" s="32"/>
    </row>
    <row r="1567" spans="1:2" x14ac:dyDescent="0.35">
      <c r="A1567" s="32" t="s">
        <v>1468</v>
      </c>
      <c r="B1567" s="32"/>
    </row>
    <row r="1568" spans="1:2" x14ac:dyDescent="0.35">
      <c r="A1568" s="32" t="s">
        <v>1469</v>
      </c>
      <c r="B1568" s="32"/>
    </row>
    <row r="1569" spans="1:2" x14ac:dyDescent="0.35">
      <c r="A1569" s="32" t="s">
        <v>1470</v>
      </c>
      <c r="B1569" s="32"/>
    </row>
    <row r="1570" spans="1:2" x14ac:dyDescent="0.35">
      <c r="A1570" s="32" t="s">
        <v>1471</v>
      </c>
      <c r="B1570" s="32"/>
    </row>
    <row r="1571" spans="1:2" x14ac:dyDescent="0.35">
      <c r="A1571" s="32" t="s">
        <v>1472</v>
      </c>
      <c r="B1571" s="32"/>
    </row>
    <row r="1572" spans="1:2" x14ac:dyDescent="0.35">
      <c r="A1572" s="32" t="s">
        <v>1473</v>
      </c>
      <c r="B1572" s="32"/>
    </row>
    <row r="1573" spans="1:2" x14ac:dyDescent="0.35">
      <c r="A1573" s="32" t="s">
        <v>1474</v>
      </c>
      <c r="B1573" s="32"/>
    </row>
    <row r="1574" spans="1:2" x14ac:dyDescent="0.35">
      <c r="A1574" s="32" t="s">
        <v>1475</v>
      </c>
      <c r="B1574" s="32"/>
    </row>
    <row r="1575" spans="1:2" x14ac:dyDescent="0.35">
      <c r="A1575" s="32" t="s">
        <v>1476</v>
      </c>
      <c r="B1575" s="32"/>
    </row>
    <row r="1576" spans="1:2" x14ac:dyDescent="0.35">
      <c r="A1576" s="32" t="s">
        <v>1477</v>
      </c>
      <c r="B1576" s="32"/>
    </row>
    <row r="1577" spans="1:2" x14ac:dyDescent="0.35">
      <c r="A1577" s="32" t="s">
        <v>1478</v>
      </c>
      <c r="B1577" s="32"/>
    </row>
    <row r="1578" spans="1:2" x14ac:dyDescent="0.35">
      <c r="A1578" s="32" t="s">
        <v>1479</v>
      </c>
      <c r="B1578" s="32"/>
    </row>
    <row r="1579" spans="1:2" x14ac:dyDescent="0.35">
      <c r="A1579" s="32" t="s">
        <v>1480</v>
      </c>
      <c r="B1579" s="32"/>
    </row>
    <row r="1580" spans="1:2" x14ac:dyDescent="0.35">
      <c r="A1580" s="32" t="s">
        <v>1481</v>
      </c>
      <c r="B1580" s="32"/>
    </row>
    <row r="1581" spans="1:2" x14ac:dyDescent="0.35">
      <c r="A1581" s="32" t="s">
        <v>1482</v>
      </c>
      <c r="B1581" s="32"/>
    </row>
    <row r="1582" spans="1:2" x14ac:dyDescent="0.35">
      <c r="A1582" s="32" t="s">
        <v>1483</v>
      </c>
      <c r="B1582" s="32"/>
    </row>
    <row r="1583" spans="1:2" x14ac:dyDescent="0.35">
      <c r="A1583" s="32" t="s">
        <v>1484</v>
      </c>
      <c r="B1583" s="32"/>
    </row>
    <row r="1584" spans="1:2" x14ac:dyDescent="0.35">
      <c r="A1584" s="32" t="s">
        <v>1485</v>
      </c>
      <c r="B1584" s="32"/>
    </row>
    <row r="1585" spans="1:2" x14ac:dyDescent="0.35">
      <c r="A1585" s="32" t="s">
        <v>1486</v>
      </c>
      <c r="B1585" s="32"/>
    </row>
    <row r="1586" spans="1:2" x14ac:dyDescent="0.35">
      <c r="A1586" s="32" t="s">
        <v>1487</v>
      </c>
      <c r="B1586" s="32"/>
    </row>
    <row r="1587" spans="1:2" x14ac:dyDescent="0.35">
      <c r="A1587" s="32" t="s">
        <v>1488</v>
      </c>
      <c r="B1587" s="32"/>
    </row>
    <row r="1588" spans="1:2" x14ac:dyDescent="0.35">
      <c r="A1588" s="32" t="s">
        <v>1489</v>
      </c>
      <c r="B1588" s="32"/>
    </row>
    <row r="1589" spans="1:2" x14ac:dyDescent="0.35">
      <c r="A1589" s="32" t="s">
        <v>1490</v>
      </c>
      <c r="B1589" s="32"/>
    </row>
    <row r="1590" spans="1:2" x14ac:dyDescent="0.35">
      <c r="A1590" s="32" t="s">
        <v>1491</v>
      </c>
      <c r="B1590" s="32"/>
    </row>
    <row r="1591" spans="1:2" x14ac:dyDescent="0.35">
      <c r="A1591" s="32" t="s">
        <v>1492</v>
      </c>
      <c r="B1591" s="32"/>
    </row>
    <row r="1592" spans="1:2" x14ac:dyDescent="0.35">
      <c r="A1592" s="32" t="s">
        <v>1493</v>
      </c>
      <c r="B1592" s="32"/>
    </row>
    <row r="1593" spans="1:2" x14ac:dyDescent="0.35">
      <c r="A1593" s="32"/>
      <c r="B1593" s="32"/>
    </row>
    <row r="1594" spans="1:2" x14ac:dyDescent="0.35">
      <c r="A1594" s="32"/>
      <c r="B1594" s="32"/>
    </row>
    <row r="1595" spans="1:2" x14ac:dyDescent="0.35">
      <c r="A1595" s="32"/>
      <c r="B1595" s="32"/>
    </row>
    <row r="1596" spans="1:2" x14ac:dyDescent="0.35">
      <c r="A1596" s="32"/>
      <c r="B1596" s="32"/>
    </row>
    <row r="1597" spans="1:2" x14ac:dyDescent="0.35">
      <c r="A1597" s="32"/>
      <c r="B1597" s="32"/>
    </row>
    <row r="1598" spans="1:2" x14ac:dyDescent="0.35">
      <c r="A1598" s="32"/>
      <c r="B1598" s="32"/>
    </row>
    <row r="1599" spans="1:2" x14ac:dyDescent="0.35">
      <c r="A1599" s="32"/>
      <c r="B1599" s="32"/>
    </row>
    <row r="1600" spans="1:2" x14ac:dyDescent="0.35">
      <c r="A1600" s="32"/>
      <c r="B1600" s="32"/>
    </row>
    <row r="1601" spans="1:2" x14ac:dyDescent="0.35">
      <c r="A1601" s="32"/>
      <c r="B1601" s="32"/>
    </row>
    <row r="1602" spans="1:2" x14ac:dyDescent="0.35">
      <c r="A1602" s="32"/>
      <c r="B1602" s="32"/>
    </row>
    <row r="1603" spans="1:2" x14ac:dyDescent="0.35">
      <c r="A1603" s="32"/>
      <c r="B1603" s="32"/>
    </row>
    <row r="1604" spans="1:2" x14ac:dyDescent="0.35">
      <c r="A1604" s="32"/>
      <c r="B1604" s="32"/>
    </row>
    <row r="1605" spans="1:2" x14ac:dyDescent="0.35">
      <c r="A1605" s="32"/>
      <c r="B1605" s="32"/>
    </row>
    <row r="1606" spans="1:2" x14ac:dyDescent="0.35">
      <c r="A1606" s="32"/>
      <c r="B1606" s="32"/>
    </row>
    <row r="1607" spans="1:2" x14ac:dyDescent="0.35">
      <c r="A1607" s="32"/>
      <c r="B1607" s="32"/>
    </row>
    <row r="1608" spans="1:2" x14ac:dyDescent="0.35">
      <c r="A1608" s="32"/>
      <c r="B1608" s="32"/>
    </row>
    <row r="1609" spans="1:2" x14ac:dyDescent="0.35">
      <c r="A1609" s="32"/>
      <c r="B1609" s="32"/>
    </row>
    <row r="1610" spans="1:2" x14ac:dyDescent="0.35">
      <c r="A1610" s="32"/>
      <c r="B1610" s="32"/>
    </row>
    <row r="1611" spans="1:2" x14ac:dyDescent="0.35">
      <c r="A1611" s="32"/>
      <c r="B1611" s="32"/>
    </row>
    <row r="1612" spans="1:2" x14ac:dyDescent="0.35">
      <c r="A1612" s="32"/>
      <c r="B1612" s="32"/>
    </row>
    <row r="1613" spans="1:2" x14ac:dyDescent="0.35">
      <c r="A1613" s="32"/>
      <c r="B1613" s="32"/>
    </row>
    <row r="1614" spans="1:2" x14ac:dyDescent="0.35">
      <c r="A1614" s="32"/>
      <c r="B1614" s="32"/>
    </row>
    <row r="1615" spans="1:2" x14ac:dyDescent="0.35">
      <c r="A1615" s="32"/>
      <c r="B1615" s="32"/>
    </row>
    <row r="1616" spans="1:2" x14ac:dyDescent="0.35">
      <c r="A1616" s="32"/>
      <c r="B1616" s="32"/>
    </row>
    <row r="1617" spans="1:2" x14ac:dyDescent="0.35">
      <c r="A1617" s="32"/>
      <c r="B1617" s="32"/>
    </row>
    <row r="1618" spans="1:2" x14ac:dyDescent="0.35">
      <c r="A1618" s="32"/>
      <c r="B1618" s="32"/>
    </row>
    <row r="1619" spans="1:2" x14ac:dyDescent="0.35">
      <c r="A1619" s="32"/>
      <c r="B1619" s="32"/>
    </row>
    <row r="1620" spans="1:2" x14ac:dyDescent="0.35">
      <c r="A1620" s="32"/>
      <c r="B1620" s="32"/>
    </row>
    <row r="1621" spans="1:2" x14ac:dyDescent="0.35">
      <c r="A1621" s="32"/>
      <c r="B1621" s="32"/>
    </row>
    <row r="1622" spans="1:2" x14ac:dyDescent="0.35">
      <c r="A1622" s="32"/>
      <c r="B1622" s="32"/>
    </row>
    <row r="1623" spans="1:2" x14ac:dyDescent="0.35">
      <c r="A1623" s="32"/>
      <c r="B1623" s="32"/>
    </row>
    <row r="1624" spans="1:2" x14ac:dyDescent="0.35">
      <c r="A1624" s="32"/>
      <c r="B1624" s="32"/>
    </row>
    <row r="1625" spans="1:2" x14ac:dyDescent="0.35">
      <c r="A1625" s="32"/>
      <c r="B1625" s="32"/>
    </row>
    <row r="1626" spans="1:2" x14ac:dyDescent="0.35">
      <c r="A1626" s="32"/>
      <c r="B1626" s="32"/>
    </row>
    <row r="1627" spans="1:2" x14ac:dyDescent="0.35">
      <c r="A1627" s="32"/>
      <c r="B1627" s="32"/>
    </row>
    <row r="1628" spans="1:2" x14ac:dyDescent="0.35">
      <c r="A1628" s="32"/>
      <c r="B1628" s="32"/>
    </row>
    <row r="1629" spans="1:2" x14ac:dyDescent="0.35">
      <c r="A1629" s="32"/>
      <c r="B1629" s="32"/>
    </row>
    <row r="1630" spans="1:2" x14ac:dyDescent="0.35">
      <c r="A1630" s="32"/>
      <c r="B1630" s="32"/>
    </row>
    <row r="1631" spans="1:2" x14ac:dyDescent="0.35">
      <c r="A1631" s="32"/>
      <c r="B1631" s="32"/>
    </row>
    <row r="1632" spans="1:2" x14ac:dyDescent="0.35">
      <c r="A1632" s="32"/>
      <c r="B1632" s="32"/>
    </row>
    <row r="1633" spans="1:2" x14ac:dyDescent="0.35">
      <c r="A1633" s="32"/>
      <c r="B1633" s="32"/>
    </row>
    <row r="1634" spans="1:2" x14ac:dyDescent="0.35">
      <c r="A1634" s="32"/>
      <c r="B1634" s="32"/>
    </row>
    <row r="1635" spans="1:2" x14ac:dyDescent="0.35">
      <c r="A1635" s="32"/>
      <c r="B1635" s="32"/>
    </row>
    <row r="1636" spans="1:2" x14ac:dyDescent="0.35">
      <c r="A1636" s="32"/>
      <c r="B1636" s="32"/>
    </row>
    <row r="1637" spans="1:2" x14ac:dyDescent="0.35">
      <c r="A1637" s="32"/>
      <c r="B1637" s="32"/>
    </row>
    <row r="1638" spans="1:2" x14ac:dyDescent="0.35">
      <c r="A1638" s="32"/>
      <c r="B1638" s="32"/>
    </row>
    <row r="1639" spans="1:2" x14ac:dyDescent="0.35">
      <c r="A1639" s="32"/>
      <c r="B1639" s="32"/>
    </row>
    <row r="1640" spans="1:2" x14ac:dyDescent="0.35">
      <c r="A1640" s="32"/>
      <c r="B1640" s="32"/>
    </row>
    <row r="1641" spans="1:2" x14ac:dyDescent="0.35">
      <c r="A1641" s="32"/>
      <c r="B1641" s="32"/>
    </row>
    <row r="1642" spans="1:2" x14ac:dyDescent="0.35">
      <c r="A1642" s="32"/>
      <c r="B1642" s="32"/>
    </row>
    <row r="1643" spans="1:2" x14ac:dyDescent="0.35">
      <c r="A1643" s="32"/>
      <c r="B1643" s="32"/>
    </row>
    <row r="1644" spans="1:2" x14ac:dyDescent="0.35">
      <c r="A1644" s="32"/>
      <c r="B1644" s="32"/>
    </row>
    <row r="1645" spans="1:2" x14ac:dyDescent="0.35">
      <c r="A1645" s="32"/>
      <c r="B1645" s="32"/>
    </row>
    <row r="1646" spans="1:2" x14ac:dyDescent="0.35">
      <c r="A1646" s="32"/>
      <c r="B1646" s="32"/>
    </row>
    <row r="1647" spans="1:2" x14ac:dyDescent="0.35">
      <c r="A1647" s="32"/>
      <c r="B1647" s="32"/>
    </row>
    <row r="1648" spans="1:2" x14ac:dyDescent="0.35">
      <c r="A1648" s="32"/>
      <c r="B1648" s="32"/>
    </row>
    <row r="1649" spans="1:2" x14ac:dyDescent="0.35">
      <c r="A1649" s="32"/>
      <c r="B1649" s="32"/>
    </row>
    <row r="1650" spans="1:2" x14ac:dyDescent="0.35">
      <c r="A1650" s="32"/>
      <c r="B1650" s="32"/>
    </row>
    <row r="1651" spans="1:2" x14ac:dyDescent="0.35">
      <c r="A1651" s="32"/>
      <c r="B1651" s="32"/>
    </row>
    <row r="1652" spans="1:2" x14ac:dyDescent="0.35">
      <c r="A1652" s="32"/>
      <c r="B1652" s="32"/>
    </row>
    <row r="1653" spans="1:2" x14ac:dyDescent="0.35">
      <c r="A1653" s="32"/>
      <c r="B1653" s="32"/>
    </row>
    <row r="1654" spans="1:2" x14ac:dyDescent="0.35">
      <c r="A1654" s="32"/>
      <c r="B1654" s="32"/>
    </row>
    <row r="1655" spans="1:2" x14ac:dyDescent="0.35">
      <c r="A1655" s="32"/>
      <c r="B1655" s="32"/>
    </row>
    <row r="1656" spans="1:2" x14ac:dyDescent="0.35">
      <c r="A1656" s="32"/>
      <c r="B1656" s="32"/>
    </row>
    <row r="1657" spans="1:2" x14ac:dyDescent="0.35">
      <c r="A1657" s="32"/>
      <c r="B1657" s="32"/>
    </row>
    <row r="1658" spans="1:2" x14ac:dyDescent="0.35">
      <c r="A1658" s="32"/>
      <c r="B1658" s="32"/>
    </row>
    <row r="1659" spans="1:2" x14ac:dyDescent="0.35">
      <c r="A1659" s="32"/>
      <c r="B1659" s="32"/>
    </row>
    <row r="1660" spans="1:2" x14ac:dyDescent="0.35">
      <c r="A1660" s="32"/>
      <c r="B1660" s="32"/>
    </row>
    <row r="1661" spans="1:2" x14ac:dyDescent="0.35">
      <c r="A1661" s="32"/>
      <c r="B1661" s="32"/>
    </row>
    <row r="1662" spans="1:2" x14ac:dyDescent="0.35">
      <c r="A1662" s="32"/>
      <c r="B1662" s="32"/>
    </row>
    <row r="1663" spans="1:2" x14ac:dyDescent="0.35">
      <c r="A1663" s="32"/>
      <c r="B1663" s="32"/>
    </row>
    <row r="1664" spans="1:2" x14ac:dyDescent="0.35">
      <c r="A1664" s="32"/>
      <c r="B1664" s="32"/>
    </row>
    <row r="1665" spans="1:2" x14ac:dyDescent="0.35">
      <c r="A1665" s="32"/>
      <c r="B1665" s="32"/>
    </row>
    <row r="1666" spans="1:2" x14ac:dyDescent="0.35">
      <c r="A1666" s="32"/>
      <c r="B1666" s="32"/>
    </row>
    <row r="1667" spans="1:2" x14ac:dyDescent="0.35">
      <c r="A1667" s="32"/>
      <c r="B1667" s="32"/>
    </row>
    <row r="1668" spans="1:2" x14ac:dyDescent="0.35">
      <c r="A1668" s="32"/>
      <c r="B1668" s="32"/>
    </row>
    <row r="1669" spans="1:2" x14ac:dyDescent="0.35">
      <c r="A1669" s="32"/>
      <c r="B1669" s="32"/>
    </row>
    <row r="1670" spans="1:2" x14ac:dyDescent="0.35">
      <c r="A1670" s="32"/>
      <c r="B1670" s="32"/>
    </row>
    <row r="1671" spans="1:2" x14ac:dyDescent="0.35">
      <c r="A1671" s="32"/>
      <c r="B1671" s="32"/>
    </row>
    <row r="1672" spans="1:2" x14ac:dyDescent="0.35">
      <c r="A1672" s="32"/>
      <c r="B1672" s="32"/>
    </row>
    <row r="1673" spans="1:2" x14ac:dyDescent="0.35">
      <c r="A1673" s="32"/>
      <c r="B1673" s="32"/>
    </row>
    <row r="1674" spans="1:2" x14ac:dyDescent="0.35">
      <c r="A1674" s="32"/>
      <c r="B1674" s="32"/>
    </row>
    <row r="1675" spans="1:2" x14ac:dyDescent="0.35">
      <c r="A1675" s="32"/>
      <c r="B1675" s="32"/>
    </row>
    <row r="1676" spans="1:2" x14ac:dyDescent="0.35">
      <c r="A1676" s="32"/>
      <c r="B1676" s="32"/>
    </row>
    <row r="1677" spans="1:2" x14ac:dyDescent="0.35">
      <c r="A1677" s="32"/>
      <c r="B1677" s="32"/>
    </row>
    <row r="1678" spans="1:2" x14ac:dyDescent="0.35">
      <c r="A1678" s="32"/>
      <c r="B1678" s="32"/>
    </row>
    <row r="1679" spans="1:2" x14ac:dyDescent="0.35">
      <c r="A1679" s="32"/>
      <c r="B1679" s="32"/>
    </row>
    <row r="1680" spans="1:2" x14ac:dyDescent="0.35">
      <c r="A1680" s="32"/>
      <c r="B1680" s="32"/>
    </row>
    <row r="1681" spans="1:2" x14ac:dyDescent="0.35">
      <c r="A1681" s="32"/>
      <c r="B1681" s="32"/>
    </row>
    <row r="1682" spans="1:2" x14ac:dyDescent="0.35">
      <c r="A1682" s="32"/>
      <c r="B1682" s="32"/>
    </row>
    <row r="1683" spans="1:2" x14ac:dyDescent="0.35">
      <c r="A1683" s="32"/>
      <c r="B1683" s="32"/>
    </row>
    <row r="1684" spans="1:2" x14ac:dyDescent="0.35">
      <c r="A1684" s="32"/>
      <c r="B1684" s="32"/>
    </row>
    <row r="1685" spans="1:2" x14ac:dyDescent="0.35">
      <c r="A1685" s="32"/>
      <c r="B1685" s="32"/>
    </row>
    <row r="1686" spans="1:2" x14ac:dyDescent="0.35">
      <c r="A1686" s="32"/>
      <c r="B1686" s="32"/>
    </row>
    <row r="1687" spans="1:2" x14ac:dyDescent="0.35">
      <c r="A1687" s="32"/>
      <c r="B1687" s="32"/>
    </row>
    <row r="1688" spans="1:2" x14ac:dyDescent="0.35">
      <c r="A1688" s="32"/>
      <c r="B1688" s="32"/>
    </row>
    <row r="1689" spans="1:2" x14ac:dyDescent="0.35">
      <c r="A1689" s="32"/>
      <c r="B1689" s="32"/>
    </row>
    <row r="1690" spans="1:2" x14ac:dyDescent="0.35">
      <c r="A1690" s="32"/>
      <c r="B1690" s="32"/>
    </row>
    <row r="1691" spans="1:2" x14ac:dyDescent="0.35">
      <c r="A1691" s="32"/>
      <c r="B1691" s="32"/>
    </row>
    <row r="1692" spans="1:2" x14ac:dyDescent="0.35">
      <c r="A1692" s="32"/>
      <c r="B1692" s="32"/>
    </row>
    <row r="1693" spans="1:2" x14ac:dyDescent="0.35">
      <c r="A1693" s="32"/>
      <c r="B1693" s="32"/>
    </row>
    <row r="1694" spans="1:2" x14ac:dyDescent="0.35">
      <c r="A1694" s="32"/>
      <c r="B1694" s="32"/>
    </row>
    <row r="1695" spans="1:2" x14ac:dyDescent="0.35">
      <c r="A1695" s="32"/>
      <c r="B1695" s="32"/>
    </row>
    <row r="1696" spans="1:2" x14ac:dyDescent="0.35">
      <c r="A1696" s="32"/>
      <c r="B1696" s="32"/>
    </row>
    <row r="1697" spans="1:2" x14ac:dyDescent="0.35">
      <c r="A1697" s="32"/>
      <c r="B1697" s="32"/>
    </row>
    <row r="1698" spans="1:2" x14ac:dyDescent="0.35">
      <c r="A1698" s="32"/>
      <c r="B1698" s="32"/>
    </row>
    <row r="1699" spans="1:2" x14ac:dyDescent="0.35">
      <c r="A1699" s="32"/>
      <c r="B1699" s="32"/>
    </row>
    <row r="1700" spans="1:2" x14ac:dyDescent="0.35">
      <c r="A1700" s="32"/>
      <c r="B1700" s="32"/>
    </row>
    <row r="1701" spans="1:2" x14ac:dyDescent="0.35">
      <c r="A1701" s="32"/>
      <c r="B1701" s="32"/>
    </row>
    <row r="1702" spans="1:2" x14ac:dyDescent="0.35">
      <c r="A1702" s="32"/>
      <c r="B1702" s="32"/>
    </row>
    <row r="1703" spans="1:2" x14ac:dyDescent="0.35">
      <c r="A1703" s="32"/>
      <c r="B1703" s="32"/>
    </row>
    <row r="1704" spans="1:2" x14ac:dyDescent="0.35">
      <c r="A1704" s="32"/>
      <c r="B1704" s="32"/>
    </row>
    <row r="1705" spans="1:2" x14ac:dyDescent="0.35">
      <c r="A1705" s="32"/>
      <c r="B1705" s="32"/>
    </row>
    <row r="1706" spans="1:2" x14ac:dyDescent="0.35">
      <c r="A1706" s="32"/>
      <c r="B1706" s="32"/>
    </row>
    <row r="1707" spans="1:2" x14ac:dyDescent="0.35">
      <c r="A1707" s="32"/>
      <c r="B1707" s="32"/>
    </row>
    <row r="1708" spans="1:2" x14ac:dyDescent="0.35">
      <c r="A1708" s="32"/>
      <c r="B1708" s="32"/>
    </row>
    <row r="1709" spans="1:2" x14ac:dyDescent="0.35">
      <c r="A1709" s="32"/>
      <c r="B1709" s="32"/>
    </row>
    <row r="1710" spans="1:2" x14ac:dyDescent="0.35">
      <c r="A1710" s="32"/>
      <c r="B1710" s="32"/>
    </row>
    <row r="1711" spans="1:2" x14ac:dyDescent="0.35">
      <c r="A1711" s="32"/>
      <c r="B1711" s="32"/>
    </row>
    <row r="1712" spans="1:2" x14ac:dyDescent="0.35">
      <c r="A1712" s="32"/>
      <c r="B1712" s="32"/>
    </row>
    <row r="1713" spans="1:2" x14ac:dyDescent="0.35">
      <c r="A1713" s="32"/>
      <c r="B1713" s="32"/>
    </row>
    <row r="1714" spans="1:2" x14ac:dyDescent="0.35">
      <c r="A1714" s="32"/>
      <c r="B1714" s="32"/>
    </row>
    <row r="1715" spans="1:2" x14ac:dyDescent="0.35">
      <c r="A1715" s="32"/>
      <c r="B1715" s="32"/>
    </row>
    <row r="1716" spans="1:2" x14ac:dyDescent="0.35">
      <c r="A1716" s="32"/>
      <c r="B1716" s="32"/>
    </row>
    <row r="1717" spans="1:2" x14ac:dyDescent="0.35">
      <c r="A1717" s="32"/>
      <c r="B1717" s="32"/>
    </row>
    <row r="1718" spans="1:2" x14ac:dyDescent="0.35">
      <c r="A1718" s="32"/>
      <c r="B1718" s="32"/>
    </row>
    <row r="1719" spans="1:2" x14ac:dyDescent="0.35">
      <c r="A1719" s="32"/>
      <c r="B1719" s="32"/>
    </row>
    <row r="1720" spans="1:2" x14ac:dyDescent="0.35">
      <c r="A1720" s="32"/>
      <c r="B1720" s="32"/>
    </row>
    <row r="1721" spans="1:2" x14ac:dyDescent="0.35">
      <c r="A1721" s="32"/>
      <c r="B1721" s="32"/>
    </row>
    <row r="1722" spans="1:2" x14ac:dyDescent="0.35">
      <c r="A1722" s="32"/>
      <c r="B1722" s="32"/>
    </row>
    <row r="1723" spans="1:2" x14ac:dyDescent="0.35">
      <c r="A1723" s="32"/>
      <c r="B1723" s="32"/>
    </row>
    <row r="1724" spans="1:2" x14ac:dyDescent="0.35">
      <c r="A1724" s="32"/>
      <c r="B1724" s="32"/>
    </row>
    <row r="1725" spans="1:2" x14ac:dyDescent="0.35">
      <c r="A1725" s="32"/>
      <c r="B1725" s="32"/>
    </row>
    <row r="1726" spans="1:2" x14ac:dyDescent="0.35">
      <c r="A1726" s="32"/>
      <c r="B1726" s="32"/>
    </row>
    <row r="1727" spans="1:2" x14ac:dyDescent="0.35">
      <c r="A1727" s="32"/>
      <c r="B1727" s="32"/>
    </row>
    <row r="1728" spans="1:2" x14ac:dyDescent="0.35">
      <c r="A1728" s="32"/>
      <c r="B1728" s="32"/>
    </row>
    <row r="1729" spans="1:2" x14ac:dyDescent="0.35">
      <c r="A1729" s="32"/>
      <c r="B1729" s="32"/>
    </row>
    <row r="1730" spans="1:2" x14ac:dyDescent="0.35">
      <c r="A1730" s="32"/>
      <c r="B1730" s="32"/>
    </row>
    <row r="1731" spans="1:2" x14ac:dyDescent="0.35">
      <c r="A1731" s="32"/>
      <c r="B1731" s="32"/>
    </row>
    <row r="1732" spans="1:2" x14ac:dyDescent="0.35">
      <c r="A1732" s="32"/>
      <c r="B1732" s="32"/>
    </row>
    <row r="1733" spans="1:2" x14ac:dyDescent="0.35">
      <c r="A1733" s="32"/>
      <c r="B1733" s="32"/>
    </row>
    <row r="1734" spans="1:2" x14ac:dyDescent="0.35">
      <c r="A1734" s="32"/>
      <c r="B1734" s="32"/>
    </row>
    <row r="1735" spans="1:2" x14ac:dyDescent="0.35">
      <c r="A1735" s="32"/>
      <c r="B1735" s="32"/>
    </row>
    <row r="1736" spans="1:2" x14ac:dyDescent="0.35">
      <c r="A1736" s="32"/>
      <c r="B1736" s="32"/>
    </row>
    <row r="1737" spans="1:2" x14ac:dyDescent="0.35">
      <c r="A1737" s="32"/>
      <c r="B1737" s="32"/>
    </row>
    <row r="1738" spans="1:2" x14ac:dyDescent="0.35">
      <c r="A1738" s="32"/>
      <c r="B1738" s="32"/>
    </row>
    <row r="1739" spans="1:2" x14ac:dyDescent="0.35">
      <c r="A1739" s="32"/>
      <c r="B1739" s="32"/>
    </row>
    <row r="1740" spans="1:2" x14ac:dyDescent="0.35">
      <c r="A1740" s="32"/>
      <c r="B1740" s="32"/>
    </row>
    <row r="1741" spans="1:2" x14ac:dyDescent="0.35">
      <c r="A1741" s="32"/>
      <c r="B1741" s="32"/>
    </row>
    <row r="1742" spans="1:2" x14ac:dyDescent="0.35">
      <c r="A1742" s="32"/>
      <c r="B1742" s="32"/>
    </row>
    <row r="1743" spans="1:2" x14ac:dyDescent="0.35">
      <c r="A1743" s="32"/>
      <c r="B1743" s="32"/>
    </row>
    <row r="1744" spans="1:2" x14ac:dyDescent="0.35">
      <c r="A1744" s="32"/>
      <c r="B1744" s="32"/>
    </row>
    <row r="1745" spans="1:2" x14ac:dyDescent="0.35">
      <c r="A1745" s="32"/>
      <c r="B1745" s="32"/>
    </row>
    <row r="1746" spans="1:2" x14ac:dyDescent="0.35">
      <c r="A1746" s="32"/>
      <c r="B1746" s="32"/>
    </row>
    <row r="1747" spans="1:2" x14ac:dyDescent="0.35">
      <c r="A1747" s="32"/>
      <c r="B1747" s="32"/>
    </row>
    <row r="1748" spans="1:2" x14ac:dyDescent="0.35">
      <c r="A1748" s="32"/>
      <c r="B1748" s="32"/>
    </row>
    <row r="1749" spans="1:2" x14ac:dyDescent="0.35">
      <c r="A1749" s="32"/>
      <c r="B1749" s="32"/>
    </row>
    <row r="1750" spans="1:2" x14ac:dyDescent="0.35">
      <c r="A1750" s="32"/>
      <c r="B1750" s="32"/>
    </row>
    <row r="1751" spans="1:2" x14ac:dyDescent="0.35">
      <c r="A1751" s="32"/>
      <c r="B1751" s="32"/>
    </row>
    <row r="1752" spans="1:2" x14ac:dyDescent="0.35">
      <c r="A1752" s="32"/>
      <c r="B1752" s="32"/>
    </row>
    <row r="1753" spans="1:2" x14ac:dyDescent="0.35">
      <c r="A1753" s="32"/>
      <c r="B1753" s="32"/>
    </row>
    <row r="1754" spans="1:2" x14ac:dyDescent="0.35">
      <c r="A1754" s="32"/>
      <c r="B1754" s="32"/>
    </row>
    <row r="1755" spans="1:2" x14ac:dyDescent="0.35">
      <c r="A1755" s="32"/>
      <c r="B1755" s="32"/>
    </row>
    <row r="1756" spans="1:2" x14ac:dyDescent="0.35">
      <c r="A1756" s="32"/>
      <c r="B1756" s="32"/>
    </row>
    <row r="1757" spans="1:2" x14ac:dyDescent="0.35">
      <c r="A1757" s="32"/>
      <c r="B1757" s="32"/>
    </row>
    <row r="1758" spans="1:2" x14ac:dyDescent="0.35">
      <c r="A1758" s="32"/>
      <c r="B1758" s="32"/>
    </row>
    <row r="1759" spans="1:2" x14ac:dyDescent="0.35">
      <c r="A1759" s="32"/>
      <c r="B1759" s="32"/>
    </row>
    <row r="1760" spans="1:2" x14ac:dyDescent="0.35">
      <c r="A1760" s="32"/>
      <c r="B1760" s="32"/>
    </row>
    <row r="1761" spans="1:2" x14ac:dyDescent="0.35">
      <c r="A1761" s="32"/>
      <c r="B1761" s="32"/>
    </row>
    <row r="1762" spans="1:2" x14ac:dyDescent="0.35">
      <c r="A1762" s="32"/>
      <c r="B1762" s="32"/>
    </row>
    <row r="1763" spans="1:2" x14ac:dyDescent="0.35">
      <c r="A1763" s="32"/>
      <c r="B1763" s="32"/>
    </row>
    <row r="1764" spans="1:2" x14ac:dyDescent="0.35">
      <c r="A1764" s="32"/>
      <c r="B1764" s="32"/>
    </row>
    <row r="1765" spans="1:2" x14ac:dyDescent="0.35">
      <c r="A1765" s="32"/>
      <c r="B1765" s="32"/>
    </row>
    <row r="1766" spans="1:2" x14ac:dyDescent="0.35">
      <c r="A1766" s="32"/>
      <c r="B1766" s="32"/>
    </row>
    <row r="1767" spans="1:2" x14ac:dyDescent="0.35">
      <c r="A1767" s="32"/>
      <c r="B1767" s="32"/>
    </row>
    <row r="1768" spans="1:2" x14ac:dyDescent="0.35">
      <c r="A1768" s="32"/>
      <c r="B1768" s="32"/>
    </row>
    <row r="1769" spans="1:2" x14ac:dyDescent="0.35">
      <c r="A1769" s="32"/>
      <c r="B1769" s="32"/>
    </row>
    <row r="1770" spans="1:2" x14ac:dyDescent="0.35">
      <c r="A1770" s="32"/>
      <c r="B1770" s="32"/>
    </row>
    <row r="1771" spans="1:2" x14ac:dyDescent="0.35">
      <c r="A1771" s="32"/>
      <c r="B1771" s="32"/>
    </row>
    <row r="1772" spans="1:2" x14ac:dyDescent="0.35">
      <c r="A1772" s="32"/>
      <c r="B1772" s="32"/>
    </row>
    <row r="1773" spans="1:2" x14ac:dyDescent="0.35">
      <c r="A1773" s="32"/>
      <c r="B1773" s="32"/>
    </row>
    <row r="1774" spans="1:2" x14ac:dyDescent="0.35">
      <c r="A1774" s="32"/>
      <c r="B1774" s="32"/>
    </row>
    <row r="1775" spans="1:2" x14ac:dyDescent="0.35">
      <c r="A1775" s="32"/>
      <c r="B1775" s="32"/>
    </row>
    <row r="1776" spans="1:2" x14ac:dyDescent="0.35">
      <c r="A1776" s="32"/>
      <c r="B1776" s="32"/>
    </row>
    <row r="1777" spans="1:2" x14ac:dyDescent="0.35">
      <c r="A1777" s="32"/>
      <c r="B1777" s="32"/>
    </row>
    <row r="1778" spans="1:2" x14ac:dyDescent="0.35">
      <c r="A1778" s="32"/>
      <c r="B1778" s="32"/>
    </row>
    <row r="1779" spans="1:2" x14ac:dyDescent="0.35">
      <c r="A1779" s="32"/>
      <c r="B1779" s="32"/>
    </row>
    <row r="1780" spans="1:2" x14ac:dyDescent="0.35">
      <c r="A1780" s="32"/>
      <c r="B1780" s="32"/>
    </row>
    <row r="1781" spans="1:2" x14ac:dyDescent="0.35">
      <c r="A1781" s="32"/>
      <c r="B1781" s="32"/>
    </row>
    <row r="1782" spans="1:2" x14ac:dyDescent="0.35">
      <c r="A1782" s="32"/>
      <c r="B1782" s="32"/>
    </row>
    <row r="1783" spans="1:2" x14ac:dyDescent="0.35">
      <c r="A1783" s="32"/>
      <c r="B1783" s="32"/>
    </row>
    <row r="1784" spans="1:2" x14ac:dyDescent="0.35">
      <c r="A1784" s="32"/>
      <c r="B1784" s="32"/>
    </row>
    <row r="1785" spans="1:2" x14ac:dyDescent="0.35">
      <c r="A1785" s="32"/>
      <c r="B1785" s="32"/>
    </row>
    <row r="1786" spans="1:2" x14ac:dyDescent="0.35">
      <c r="A1786" s="32"/>
      <c r="B1786" s="32"/>
    </row>
    <row r="1787" spans="1:2" x14ac:dyDescent="0.35">
      <c r="A1787" s="32"/>
      <c r="B1787" s="32"/>
    </row>
    <row r="1788" spans="1:2" x14ac:dyDescent="0.35">
      <c r="A1788" s="32"/>
      <c r="B1788" s="32"/>
    </row>
    <row r="1789" spans="1:2" x14ac:dyDescent="0.35">
      <c r="A1789" s="32"/>
      <c r="B1789" s="32"/>
    </row>
    <row r="1790" spans="1:2" x14ac:dyDescent="0.35">
      <c r="A1790" s="32"/>
      <c r="B1790" s="32"/>
    </row>
    <row r="1791" spans="1:2" x14ac:dyDescent="0.35">
      <c r="A1791" s="32"/>
      <c r="B1791" s="32"/>
    </row>
    <row r="1792" spans="1:2" x14ac:dyDescent="0.35">
      <c r="A1792" s="32"/>
      <c r="B1792" s="32"/>
    </row>
    <row r="1793" spans="1:2" x14ac:dyDescent="0.35">
      <c r="A1793" s="32"/>
      <c r="B1793" s="32"/>
    </row>
    <row r="1794" spans="1:2" x14ac:dyDescent="0.35">
      <c r="A1794" s="32"/>
      <c r="B1794" s="32"/>
    </row>
    <row r="1795" spans="1:2" x14ac:dyDescent="0.35">
      <c r="A1795" s="32"/>
      <c r="B1795" s="32"/>
    </row>
    <row r="1796" spans="1:2" x14ac:dyDescent="0.35">
      <c r="A1796" s="32"/>
      <c r="B1796" s="32"/>
    </row>
    <row r="1797" spans="1:2" x14ac:dyDescent="0.35">
      <c r="A1797" s="32"/>
      <c r="B1797" s="32"/>
    </row>
    <row r="1798" spans="1:2" x14ac:dyDescent="0.35">
      <c r="A1798" s="32"/>
      <c r="B1798" s="32"/>
    </row>
    <row r="1799" spans="1:2" x14ac:dyDescent="0.35">
      <c r="A1799" s="32"/>
      <c r="B1799" s="32"/>
    </row>
    <row r="1800" spans="1:2" x14ac:dyDescent="0.35">
      <c r="A1800" s="32"/>
      <c r="B1800" s="32"/>
    </row>
    <row r="1801" spans="1:2" x14ac:dyDescent="0.35">
      <c r="A1801" s="32"/>
      <c r="B1801" s="32"/>
    </row>
    <row r="1802" spans="1:2" x14ac:dyDescent="0.35">
      <c r="A1802" s="32"/>
      <c r="B1802" s="32"/>
    </row>
    <row r="1803" spans="1:2" x14ac:dyDescent="0.35">
      <c r="A1803" s="32"/>
      <c r="B1803" s="32"/>
    </row>
    <row r="1804" spans="1:2" x14ac:dyDescent="0.35">
      <c r="A1804" s="32"/>
      <c r="B1804" s="32"/>
    </row>
    <row r="1805" spans="1:2" x14ac:dyDescent="0.35">
      <c r="A1805" s="32"/>
      <c r="B1805" s="32"/>
    </row>
    <row r="1806" spans="1:2" x14ac:dyDescent="0.35">
      <c r="A1806" s="32"/>
      <c r="B1806" s="32"/>
    </row>
    <row r="1807" spans="1:2" x14ac:dyDescent="0.35">
      <c r="A1807" s="32"/>
      <c r="B1807" s="32"/>
    </row>
    <row r="1808" spans="1:2" x14ac:dyDescent="0.35">
      <c r="A1808" s="32"/>
      <c r="B1808" s="32"/>
    </row>
    <row r="1809" spans="1:2" x14ac:dyDescent="0.35">
      <c r="A1809" s="32"/>
      <c r="B1809" s="32"/>
    </row>
    <row r="1810" spans="1:2" x14ac:dyDescent="0.35">
      <c r="A1810" s="32"/>
      <c r="B1810" s="32"/>
    </row>
    <row r="1811" spans="1:2" x14ac:dyDescent="0.35">
      <c r="A1811" s="32"/>
      <c r="B1811" s="32"/>
    </row>
    <row r="1812" spans="1:2" x14ac:dyDescent="0.35">
      <c r="A1812" s="32"/>
      <c r="B1812" s="32"/>
    </row>
    <row r="1813" spans="1:2" x14ac:dyDescent="0.35">
      <c r="A1813" s="32"/>
      <c r="B1813" s="32"/>
    </row>
    <row r="1814" spans="1:2" x14ac:dyDescent="0.35">
      <c r="A1814" s="32"/>
      <c r="B1814" s="32"/>
    </row>
    <row r="1815" spans="1:2" x14ac:dyDescent="0.35">
      <c r="A1815" s="32"/>
      <c r="B1815" s="32"/>
    </row>
    <row r="1816" spans="1:2" x14ac:dyDescent="0.35">
      <c r="A1816" s="32"/>
      <c r="B1816" s="32"/>
    </row>
    <row r="1817" spans="1:2" x14ac:dyDescent="0.35">
      <c r="A1817" s="32"/>
      <c r="B1817" s="32"/>
    </row>
    <row r="1818" spans="1:2" x14ac:dyDescent="0.35">
      <c r="A1818" s="32"/>
      <c r="B1818" s="32"/>
    </row>
    <row r="1819" spans="1:2" x14ac:dyDescent="0.35">
      <c r="A1819" s="32"/>
      <c r="B1819" s="32"/>
    </row>
    <row r="1820" spans="1:2" x14ac:dyDescent="0.35">
      <c r="A1820" s="32"/>
      <c r="B1820" s="32"/>
    </row>
    <row r="1821" spans="1:2" x14ac:dyDescent="0.35">
      <c r="A1821" s="32"/>
      <c r="B1821" s="32"/>
    </row>
    <row r="1822" spans="1:2" x14ac:dyDescent="0.35">
      <c r="A1822" s="32"/>
      <c r="B1822" s="32"/>
    </row>
    <row r="1823" spans="1:2" x14ac:dyDescent="0.35">
      <c r="A1823" s="32"/>
      <c r="B1823" s="32"/>
    </row>
    <row r="1824" spans="1:2" x14ac:dyDescent="0.35">
      <c r="A1824" s="32"/>
      <c r="B1824" s="32"/>
    </row>
    <row r="1825" spans="1:2" x14ac:dyDescent="0.35">
      <c r="A1825" s="32"/>
      <c r="B1825" s="32"/>
    </row>
    <row r="1826" spans="1:2" x14ac:dyDescent="0.35">
      <c r="A1826" s="32"/>
      <c r="B1826" s="32"/>
    </row>
    <row r="1827" spans="1:2" x14ac:dyDescent="0.35">
      <c r="A1827" s="32"/>
      <c r="B1827" s="32"/>
    </row>
    <row r="1828" spans="1:2" x14ac:dyDescent="0.35">
      <c r="A1828" s="32"/>
      <c r="B1828" s="32"/>
    </row>
    <row r="1829" spans="1:2" x14ac:dyDescent="0.35">
      <c r="A1829" s="32"/>
      <c r="B1829" s="32"/>
    </row>
    <row r="1830" spans="1:2" x14ac:dyDescent="0.35">
      <c r="A1830" s="32"/>
      <c r="B1830" s="32"/>
    </row>
    <row r="1831" spans="1:2" x14ac:dyDescent="0.35">
      <c r="A1831" s="32"/>
      <c r="B1831" s="32"/>
    </row>
    <row r="1832" spans="1:2" x14ac:dyDescent="0.35">
      <c r="A1832" s="32"/>
      <c r="B1832" s="32"/>
    </row>
    <row r="1833" spans="1:2" x14ac:dyDescent="0.35">
      <c r="A1833" s="32"/>
      <c r="B1833" s="32"/>
    </row>
    <row r="1834" spans="1:2" x14ac:dyDescent="0.35">
      <c r="A1834" s="32"/>
      <c r="B1834" s="32"/>
    </row>
    <row r="1835" spans="1:2" x14ac:dyDescent="0.35">
      <c r="A1835" s="32"/>
      <c r="B1835" s="32"/>
    </row>
    <row r="1836" spans="1:2" x14ac:dyDescent="0.35">
      <c r="A1836" s="32"/>
      <c r="B1836" s="32"/>
    </row>
    <row r="1837" spans="1:2" x14ac:dyDescent="0.35">
      <c r="A1837" s="32"/>
      <c r="B1837" s="32"/>
    </row>
    <row r="1838" spans="1:2" x14ac:dyDescent="0.35">
      <c r="A1838" s="32"/>
      <c r="B1838" s="32"/>
    </row>
    <row r="1839" spans="1:2" x14ac:dyDescent="0.35">
      <c r="A1839" s="32"/>
      <c r="B1839" s="32"/>
    </row>
    <row r="1840" spans="1:2" x14ac:dyDescent="0.35">
      <c r="A1840" s="32"/>
      <c r="B1840" s="32"/>
    </row>
    <row r="1841" spans="1:2" x14ac:dyDescent="0.35">
      <c r="A1841" s="32"/>
      <c r="B1841" s="32"/>
    </row>
    <row r="1842" spans="1:2" x14ac:dyDescent="0.35">
      <c r="A1842" s="32"/>
      <c r="B1842" s="32"/>
    </row>
    <row r="1843" spans="1:2" x14ac:dyDescent="0.35">
      <c r="A1843" s="32"/>
      <c r="B1843" s="32"/>
    </row>
    <row r="1844" spans="1:2" x14ac:dyDescent="0.35">
      <c r="A1844" s="32"/>
      <c r="B1844" s="32"/>
    </row>
    <row r="1845" spans="1:2" x14ac:dyDescent="0.35">
      <c r="A1845" s="32"/>
      <c r="B1845" s="32"/>
    </row>
    <row r="1846" spans="1:2" x14ac:dyDescent="0.35">
      <c r="A1846" s="32"/>
      <c r="B1846" s="32"/>
    </row>
    <row r="1847" spans="1:2" x14ac:dyDescent="0.35">
      <c r="A1847" s="32"/>
      <c r="B1847" s="32"/>
    </row>
    <row r="1848" spans="1:2" x14ac:dyDescent="0.35">
      <c r="A1848" s="32"/>
      <c r="B1848" s="32"/>
    </row>
    <row r="1849" spans="1:2" x14ac:dyDescent="0.35">
      <c r="A1849" s="32"/>
      <c r="B1849" s="32"/>
    </row>
    <row r="1850" spans="1:2" x14ac:dyDescent="0.35">
      <c r="A1850" s="32"/>
      <c r="B1850" s="32"/>
    </row>
    <row r="1851" spans="1:2" x14ac:dyDescent="0.35">
      <c r="A1851" s="32"/>
      <c r="B1851" s="32"/>
    </row>
    <row r="1852" spans="1:2" x14ac:dyDescent="0.35">
      <c r="A1852" s="32"/>
      <c r="B1852" s="32"/>
    </row>
    <row r="1853" spans="1:2" x14ac:dyDescent="0.35">
      <c r="A1853" s="32"/>
      <c r="B1853" s="32"/>
    </row>
    <row r="1854" spans="1:2" x14ac:dyDescent="0.35">
      <c r="A1854" s="32"/>
      <c r="B1854" s="32"/>
    </row>
    <row r="1855" spans="1:2" x14ac:dyDescent="0.35">
      <c r="A1855" s="32"/>
      <c r="B1855" s="32"/>
    </row>
    <row r="1856" spans="1:2" x14ac:dyDescent="0.35">
      <c r="A1856" s="32"/>
      <c r="B1856" s="32"/>
    </row>
    <row r="1857" spans="1:2" x14ac:dyDescent="0.35">
      <c r="A1857" s="32"/>
      <c r="B1857" s="32"/>
    </row>
    <row r="1858" spans="1:2" x14ac:dyDescent="0.35">
      <c r="A1858" s="32"/>
      <c r="B1858" s="32"/>
    </row>
    <row r="1859" spans="1:2" x14ac:dyDescent="0.35">
      <c r="A1859" s="32"/>
      <c r="B1859" s="32"/>
    </row>
    <row r="1860" spans="1:2" x14ac:dyDescent="0.35">
      <c r="A1860" s="32"/>
      <c r="B1860" s="32"/>
    </row>
    <row r="1861" spans="1:2" x14ac:dyDescent="0.35">
      <c r="A1861" s="32"/>
      <c r="B1861" s="32"/>
    </row>
    <row r="1862" spans="1:2" x14ac:dyDescent="0.35">
      <c r="A1862" s="32"/>
      <c r="B1862" s="32"/>
    </row>
    <row r="1863" spans="1:2" x14ac:dyDescent="0.35">
      <c r="A1863" s="32"/>
      <c r="B1863" s="32"/>
    </row>
    <row r="1864" spans="1:2" x14ac:dyDescent="0.35">
      <c r="A1864" s="32"/>
      <c r="B1864" s="32"/>
    </row>
    <row r="1865" spans="1:2" x14ac:dyDescent="0.35">
      <c r="A1865" s="32"/>
      <c r="B1865" s="32"/>
    </row>
    <row r="1866" spans="1:2" x14ac:dyDescent="0.35">
      <c r="A1866" s="32"/>
      <c r="B1866" s="32"/>
    </row>
    <row r="1867" spans="1:2" x14ac:dyDescent="0.35">
      <c r="A1867" s="32"/>
      <c r="B1867" s="32"/>
    </row>
    <row r="1868" spans="1:2" x14ac:dyDescent="0.35">
      <c r="A1868" s="32"/>
      <c r="B1868" s="32"/>
    </row>
    <row r="1869" spans="1:2" x14ac:dyDescent="0.35">
      <c r="A1869" s="32"/>
      <c r="B1869" s="32"/>
    </row>
    <row r="1870" spans="1:2" x14ac:dyDescent="0.35">
      <c r="A1870" s="32"/>
      <c r="B1870" s="32"/>
    </row>
    <row r="1871" spans="1:2" x14ac:dyDescent="0.35">
      <c r="A1871" s="32"/>
      <c r="B1871" s="32"/>
    </row>
    <row r="1872" spans="1:2" x14ac:dyDescent="0.35">
      <c r="A1872" s="32"/>
      <c r="B1872" s="32"/>
    </row>
    <row r="1873" spans="1:2" x14ac:dyDescent="0.35">
      <c r="A1873" s="32"/>
      <c r="B1873" s="32"/>
    </row>
    <row r="1874" spans="1:2" x14ac:dyDescent="0.35">
      <c r="A1874" s="32"/>
      <c r="B1874" s="32"/>
    </row>
    <row r="1875" spans="1:2" x14ac:dyDescent="0.35">
      <c r="A1875" s="32"/>
      <c r="B1875" s="32"/>
    </row>
    <row r="1876" spans="1:2" x14ac:dyDescent="0.35">
      <c r="A1876" s="32"/>
      <c r="B1876" s="32"/>
    </row>
    <row r="1877" spans="1:2" x14ac:dyDescent="0.35">
      <c r="A1877" s="32"/>
      <c r="B1877" s="32"/>
    </row>
    <row r="1878" spans="1:2" x14ac:dyDescent="0.35">
      <c r="A1878" s="32"/>
      <c r="B1878" s="32"/>
    </row>
    <row r="1879" spans="1:2" x14ac:dyDescent="0.35">
      <c r="A1879" s="32"/>
      <c r="B1879" s="32"/>
    </row>
    <row r="1880" spans="1:2" x14ac:dyDescent="0.35">
      <c r="A1880" s="32"/>
      <c r="B1880" s="32"/>
    </row>
    <row r="1881" spans="1:2" x14ac:dyDescent="0.35">
      <c r="A1881" s="32"/>
      <c r="B1881" s="32"/>
    </row>
    <row r="1882" spans="1:2" x14ac:dyDescent="0.35">
      <c r="A1882" s="32"/>
      <c r="B1882" s="32"/>
    </row>
    <row r="1883" spans="1:2" x14ac:dyDescent="0.35">
      <c r="A1883" s="32"/>
      <c r="B1883" s="32"/>
    </row>
    <row r="1884" spans="1:2" x14ac:dyDescent="0.35">
      <c r="A1884" s="32"/>
      <c r="B1884" s="32"/>
    </row>
    <row r="1885" spans="1:2" x14ac:dyDescent="0.35">
      <c r="A1885" s="32"/>
      <c r="B1885" s="32"/>
    </row>
    <row r="1886" spans="1:2" x14ac:dyDescent="0.35">
      <c r="A1886" s="32"/>
      <c r="B1886" s="32"/>
    </row>
    <row r="1887" spans="1:2" x14ac:dyDescent="0.35">
      <c r="A1887" s="32"/>
      <c r="B1887" s="32"/>
    </row>
    <row r="1888" spans="1:2" x14ac:dyDescent="0.35">
      <c r="A1888" s="32"/>
      <c r="B1888" s="32"/>
    </row>
    <row r="1889" spans="1:2" x14ac:dyDescent="0.35">
      <c r="A1889" s="32"/>
      <c r="B1889" s="32"/>
    </row>
    <row r="1890" spans="1:2" x14ac:dyDescent="0.35">
      <c r="A1890" s="32"/>
      <c r="B1890" s="32"/>
    </row>
    <row r="1891" spans="1:2" x14ac:dyDescent="0.35">
      <c r="A1891" s="32"/>
      <c r="B1891" s="32"/>
    </row>
    <row r="1892" spans="1:2" x14ac:dyDescent="0.35">
      <c r="A1892" s="32"/>
      <c r="B1892" s="32"/>
    </row>
    <row r="1893" spans="1:2" x14ac:dyDescent="0.35">
      <c r="A1893" s="32"/>
      <c r="B1893" s="32"/>
    </row>
    <row r="1894" spans="1:2" x14ac:dyDescent="0.35">
      <c r="A1894" s="32"/>
      <c r="B1894" s="32"/>
    </row>
    <row r="1895" spans="1:2" x14ac:dyDescent="0.35">
      <c r="A1895" s="32"/>
      <c r="B1895" s="32"/>
    </row>
    <row r="1896" spans="1:2" x14ac:dyDescent="0.35">
      <c r="A1896" s="32"/>
      <c r="B1896" s="32"/>
    </row>
    <row r="1897" spans="1:2" x14ac:dyDescent="0.35">
      <c r="A1897" s="32"/>
      <c r="B1897" s="32"/>
    </row>
    <row r="1898" spans="1:2" x14ac:dyDescent="0.35">
      <c r="A1898" s="32"/>
      <c r="B1898" s="32"/>
    </row>
    <row r="1899" spans="1:2" x14ac:dyDescent="0.35">
      <c r="A1899" s="32"/>
      <c r="B1899" s="32"/>
    </row>
    <row r="1900" spans="1:2" x14ac:dyDescent="0.35">
      <c r="A1900" s="32"/>
      <c r="B1900" s="32"/>
    </row>
    <row r="1901" spans="1:2" x14ac:dyDescent="0.35">
      <c r="A1901" s="32"/>
      <c r="B1901" s="32"/>
    </row>
    <row r="1902" spans="1:2" x14ac:dyDescent="0.35">
      <c r="A1902" s="32"/>
      <c r="B1902" s="32"/>
    </row>
    <row r="1903" spans="1:2" x14ac:dyDescent="0.35">
      <c r="A1903" s="32"/>
      <c r="B1903" s="32"/>
    </row>
    <row r="1904" spans="1:2" x14ac:dyDescent="0.35">
      <c r="A1904" s="32"/>
      <c r="B1904" s="32"/>
    </row>
    <row r="1905" spans="1:2" x14ac:dyDescent="0.35">
      <c r="A1905" s="32"/>
      <c r="B1905" s="32"/>
    </row>
    <row r="1906" spans="1:2" x14ac:dyDescent="0.35">
      <c r="A1906" s="32"/>
      <c r="B1906" s="32"/>
    </row>
    <row r="1907" spans="1:2" x14ac:dyDescent="0.35">
      <c r="A1907" s="32"/>
      <c r="B1907" s="32"/>
    </row>
    <row r="1908" spans="1:2" x14ac:dyDescent="0.35">
      <c r="A1908" s="32"/>
      <c r="B1908" s="32"/>
    </row>
    <row r="1909" spans="1:2" x14ac:dyDescent="0.35">
      <c r="A1909" s="32"/>
      <c r="B1909" s="32"/>
    </row>
    <row r="1910" spans="1:2" x14ac:dyDescent="0.35">
      <c r="A1910" s="32"/>
      <c r="B1910" s="32"/>
    </row>
    <row r="1911" spans="1:2" x14ac:dyDescent="0.35">
      <c r="A1911" s="32"/>
      <c r="B1911" s="32"/>
    </row>
    <row r="1912" spans="1:2" x14ac:dyDescent="0.35">
      <c r="A1912" s="32"/>
      <c r="B1912" s="32"/>
    </row>
    <row r="1913" spans="1:2" x14ac:dyDescent="0.35">
      <c r="A1913" s="32"/>
      <c r="B1913" s="32"/>
    </row>
    <row r="1914" spans="1:2" x14ac:dyDescent="0.35">
      <c r="A1914" s="32"/>
      <c r="B1914" s="32"/>
    </row>
    <row r="1915" spans="1:2" x14ac:dyDescent="0.35">
      <c r="A1915" s="32"/>
      <c r="B1915" s="32"/>
    </row>
    <row r="1916" spans="1:2" x14ac:dyDescent="0.35">
      <c r="A1916" s="32"/>
      <c r="B1916" s="32"/>
    </row>
    <row r="1917" spans="1:2" x14ac:dyDescent="0.35">
      <c r="A1917" s="32"/>
      <c r="B1917" s="32"/>
    </row>
    <row r="1918" spans="1:2" x14ac:dyDescent="0.35">
      <c r="A1918" s="32"/>
      <c r="B1918" s="32"/>
    </row>
    <row r="1919" spans="1:2" x14ac:dyDescent="0.35">
      <c r="A1919" s="32"/>
      <c r="B1919" s="32"/>
    </row>
    <row r="1920" spans="1:2" x14ac:dyDescent="0.35">
      <c r="A1920" s="32"/>
      <c r="B1920" s="32"/>
    </row>
    <row r="1921" spans="1:2" x14ac:dyDescent="0.35">
      <c r="A1921" s="32"/>
      <c r="B1921" s="32"/>
    </row>
    <row r="1922" spans="1:2" x14ac:dyDescent="0.35">
      <c r="A1922" s="32"/>
      <c r="B1922" s="32"/>
    </row>
    <row r="1923" spans="1:2" x14ac:dyDescent="0.35">
      <c r="A1923" s="32"/>
      <c r="B1923" s="32"/>
    </row>
    <row r="1924" spans="1:2" x14ac:dyDescent="0.35">
      <c r="A1924" s="32"/>
      <c r="B1924" s="32"/>
    </row>
    <row r="1925" spans="1:2" x14ac:dyDescent="0.35">
      <c r="A1925" s="32"/>
      <c r="B1925" s="32"/>
    </row>
    <row r="1926" spans="1:2" x14ac:dyDescent="0.35">
      <c r="A1926" s="32"/>
      <c r="B1926" s="32"/>
    </row>
    <row r="1927" spans="1:2" x14ac:dyDescent="0.35">
      <c r="A1927" s="32"/>
      <c r="B1927" s="32"/>
    </row>
    <row r="1928" spans="1:2" x14ac:dyDescent="0.35">
      <c r="A1928" s="32"/>
      <c r="B1928" s="32"/>
    </row>
    <row r="1929" spans="1:2" x14ac:dyDescent="0.35">
      <c r="A1929" s="32"/>
      <c r="B1929" s="32"/>
    </row>
    <row r="1930" spans="1:2" x14ac:dyDescent="0.35">
      <c r="A1930" s="32"/>
      <c r="B1930" s="32"/>
    </row>
    <row r="1931" spans="1:2" x14ac:dyDescent="0.35">
      <c r="A1931" s="32"/>
      <c r="B1931" s="32"/>
    </row>
    <row r="1932" spans="1:2" x14ac:dyDescent="0.35">
      <c r="A1932" s="32"/>
      <c r="B1932" s="32"/>
    </row>
    <row r="1933" spans="1:2" x14ac:dyDescent="0.35">
      <c r="A1933" s="32"/>
      <c r="B1933" s="32"/>
    </row>
    <row r="1934" spans="1:2" x14ac:dyDescent="0.35">
      <c r="A1934" s="32"/>
      <c r="B1934" s="32"/>
    </row>
    <row r="1935" spans="1:2" x14ac:dyDescent="0.35">
      <c r="A1935" s="32"/>
      <c r="B1935" s="32"/>
    </row>
    <row r="1936" spans="1:2" x14ac:dyDescent="0.35">
      <c r="A1936" s="32"/>
      <c r="B1936" s="32"/>
    </row>
    <row r="1937" spans="1:2" x14ac:dyDescent="0.35">
      <c r="A1937" s="32"/>
      <c r="B1937" s="32"/>
    </row>
    <row r="1938" spans="1:2" x14ac:dyDescent="0.35">
      <c r="A1938" s="32"/>
      <c r="B1938" s="32"/>
    </row>
    <row r="1939" spans="1:2" x14ac:dyDescent="0.35">
      <c r="A1939" s="32"/>
      <c r="B1939" s="32"/>
    </row>
    <row r="1940" spans="1:2" x14ac:dyDescent="0.35">
      <c r="A1940" s="32"/>
      <c r="B1940" s="32"/>
    </row>
    <row r="1941" spans="1:2" x14ac:dyDescent="0.35">
      <c r="A1941" s="32"/>
      <c r="B1941" s="32"/>
    </row>
    <row r="1942" spans="1:2" x14ac:dyDescent="0.35">
      <c r="A1942" s="32"/>
      <c r="B1942" s="32"/>
    </row>
    <row r="1943" spans="1:2" x14ac:dyDescent="0.35">
      <c r="A1943" s="32"/>
      <c r="B1943" s="32"/>
    </row>
    <row r="1944" spans="1:2" x14ac:dyDescent="0.35">
      <c r="A1944" s="32"/>
      <c r="B1944" s="32"/>
    </row>
    <row r="1945" spans="1:2" x14ac:dyDescent="0.35">
      <c r="A1945" s="32"/>
      <c r="B1945" s="32"/>
    </row>
    <row r="1946" spans="1:2" x14ac:dyDescent="0.35">
      <c r="A1946" s="32"/>
      <c r="B1946" s="32"/>
    </row>
    <row r="1947" spans="1:2" x14ac:dyDescent="0.35">
      <c r="A1947" s="32"/>
      <c r="B1947" s="32"/>
    </row>
    <row r="1948" spans="1:2" x14ac:dyDescent="0.35">
      <c r="A1948" s="32"/>
      <c r="B1948" s="32"/>
    </row>
    <row r="1949" spans="1:2" x14ac:dyDescent="0.35">
      <c r="A1949" s="32"/>
      <c r="B1949" s="32"/>
    </row>
    <row r="1950" spans="1:2" x14ac:dyDescent="0.35">
      <c r="A1950" s="32"/>
      <c r="B1950" s="32"/>
    </row>
    <row r="1951" spans="1:2" x14ac:dyDescent="0.35">
      <c r="A1951" s="32"/>
      <c r="B1951" s="32"/>
    </row>
    <row r="1952" spans="1:2" x14ac:dyDescent="0.35">
      <c r="A1952" s="32"/>
      <c r="B1952" s="32"/>
    </row>
    <row r="1953" spans="1:2" x14ac:dyDescent="0.35">
      <c r="A1953" s="32"/>
      <c r="B1953" s="32"/>
    </row>
    <row r="1954" spans="1:2" x14ac:dyDescent="0.35">
      <c r="A1954" s="32"/>
      <c r="B1954" s="32"/>
    </row>
    <row r="1955" spans="1:2" x14ac:dyDescent="0.35">
      <c r="A1955" s="32"/>
      <c r="B1955" s="32"/>
    </row>
    <row r="1956" spans="1:2" x14ac:dyDescent="0.35">
      <c r="A1956" s="32"/>
      <c r="B1956" s="32"/>
    </row>
    <row r="1957" spans="1:2" x14ac:dyDescent="0.35">
      <c r="A1957" s="32"/>
      <c r="B1957" s="32"/>
    </row>
    <row r="1958" spans="1:2" x14ac:dyDescent="0.35">
      <c r="A1958" s="32"/>
      <c r="B1958" s="32"/>
    </row>
    <row r="1959" spans="1:2" x14ac:dyDescent="0.35">
      <c r="A1959" s="32"/>
      <c r="B1959" s="32"/>
    </row>
    <row r="1960" spans="1:2" x14ac:dyDescent="0.35">
      <c r="A1960" s="32"/>
      <c r="B1960" s="32"/>
    </row>
    <row r="1961" spans="1:2" x14ac:dyDescent="0.35">
      <c r="A1961" s="32"/>
      <c r="B1961" s="32"/>
    </row>
    <row r="1962" spans="1:2" x14ac:dyDescent="0.35">
      <c r="A1962" s="32"/>
      <c r="B1962" s="32"/>
    </row>
    <row r="1963" spans="1:2" x14ac:dyDescent="0.35">
      <c r="A1963" s="32"/>
      <c r="B1963" s="32"/>
    </row>
    <row r="1964" spans="1:2" x14ac:dyDescent="0.35">
      <c r="A1964" s="32"/>
      <c r="B1964" s="32"/>
    </row>
    <row r="1965" spans="1:2" x14ac:dyDescent="0.35">
      <c r="A1965" s="32"/>
      <c r="B1965" s="32"/>
    </row>
    <row r="1966" spans="1:2" x14ac:dyDescent="0.35">
      <c r="A1966" s="32"/>
      <c r="B1966" s="32"/>
    </row>
    <row r="1967" spans="1:2" x14ac:dyDescent="0.35">
      <c r="A1967" s="32"/>
      <c r="B1967" s="32"/>
    </row>
    <row r="1968" spans="1:2" x14ac:dyDescent="0.35">
      <c r="A1968" s="32"/>
      <c r="B1968" s="32"/>
    </row>
    <row r="1969" spans="1:2" x14ac:dyDescent="0.35">
      <c r="A1969" s="32"/>
      <c r="B1969" s="32"/>
    </row>
    <row r="1970" spans="1:2" x14ac:dyDescent="0.35">
      <c r="A1970" s="32"/>
      <c r="B1970" s="32"/>
    </row>
    <row r="1971" spans="1:2" x14ac:dyDescent="0.35">
      <c r="A1971" s="32"/>
      <c r="B1971" s="32"/>
    </row>
    <row r="1972" spans="1:2" x14ac:dyDescent="0.35">
      <c r="A1972" s="32"/>
      <c r="B1972" s="32"/>
    </row>
    <row r="1973" spans="1:2" x14ac:dyDescent="0.35">
      <c r="A1973" s="32"/>
      <c r="B1973" s="32"/>
    </row>
    <row r="1974" spans="1:2" x14ac:dyDescent="0.35">
      <c r="A1974" s="32"/>
      <c r="B1974" s="32"/>
    </row>
    <row r="1975" spans="1:2" x14ac:dyDescent="0.35">
      <c r="A1975" s="32"/>
      <c r="B1975" s="32"/>
    </row>
    <row r="1976" spans="1:2" x14ac:dyDescent="0.35">
      <c r="A1976" s="32"/>
      <c r="B1976" s="32"/>
    </row>
    <row r="1977" spans="1:2" x14ac:dyDescent="0.35">
      <c r="A1977" s="32"/>
      <c r="B1977" s="32"/>
    </row>
    <row r="1978" spans="1:2" x14ac:dyDescent="0.35">
      <c r="A1978" s="32"/>
      <c r="B1978" s="32"/>
    </row>
    <row r="1979" spans="1:2" x14ac:dyDescent="0.35">
      <c r="A1979" s="32"/>
      <c r="B1979" s="32"/>
    </row>
    <row r="1980" spans="1:2" x14ac:dyDescent="0.35">
      <c r="A1980" s="32"/>
      <c r="B1980" s="32"/>
    </row>
    <row r="1981" spans="1:2" x14ac:dyDescent="0.35">
      <c r="A1981" s="32"/>
      <c r="B1981" s="32"/>
    </row>
    <row r="1982" spans="1:2" x14ac:dyDescent="0.35">
      <c r="A1982" s="32"/>
      <c r="B1982" s="32"/>
    </row>
    <row r="1983" spans="1:2" x14ac:dyDescent="0.35">
      <c r="A1983" s="32"/>
      <c r="B1983" s="32"/>
    </row>
    <row r="1984" spans="1:2" x14ac:dyDescent="0.35">
      <c r="A1984" s="32"/>
      <c r="B1984" s="32"/>
    </row>
    <row r="1985" spans="1:2" x14ac:dyDescent="0.35">
      <c r="A1985" s="32"/>
      <c r="B1985" s="32"/>
    </row>
    <row r="1986" spans="1:2" x14ac:dyDescent="0.35">
      <c r="A1986" s="32"/>
      <c r="B1986" s="32"/>
    </row>
    <row r="1987" spans="1:2" x14ac:dyDescent="0.35">
      <c r="A1987" s="32"/>
      <c r="B1987" s="32"/>
    </row>
    <row r="1988" spans="1:2" x14ac:dyDescent="0.35">
      <c r="A1988" s="32"/>
      <c r="B1988" s="32"/>
    </row>
    <row r="1989" spans="1:2" x14ac:dyDescent="0.35">
      <c r="A1989" s="32"/>
      <c r="B1989" s="32"/>
    </row>
    <row r="1990" spans="1:2" x14ac:dyDescent="0.35">
      <c r="A1990" s="32"/>
      <c r="B1990" s="32"/>
    </row>
    <row r="1991" spans="1:2" x14ac:dyDescent="0.35">
      <c r="A1991" s="32"/>
      <c r="B1991" s="32"/>
    </row>
    <row r="1992" spans="1:2" x14ac:dyDescent="0.35">
      <c r="A1992" s="32"/>
      <c r="B1992" s="32"/>
    </row>
    <row r="1993" spans="1:2" x14ac:dyDescent="0.35">
      <c r="A1993" s="32"/>
      <c r="B1993" s="32"/>
    </row>
    <row r="1994" spans="1:2" x14ac:dyDescent="0.35">
      <c r="A1994" s="32"/>
      <c r="B1994" s="32"/>
    </row>
    <row r="1995" spans="1:2" x14ac:dyDescent="0.35">
      <c r="A1995" s="32"/>
      <c r="B1995" s="32"/>
    </row>
    <row r="1996" spans="1:2" x14ac:dyDescent="0.35">
      <c r="A1996" s="32"/>
      <c r="B1996" s="32"/>
    </row>
    <row r="1997" spans="1:2" x14ac:dyDescent="0.35">
      <c r="A1997" s="32"/>
      <c r="B1997" s="32"/>
    </row>
    <row r="1998" spans="1:2" x14ac:dyDescent="0.35">
      <c r="A1998" s="32"/>
      <c r="B1998" s="32"/>
    </row>
    <row r="1999" spans="1:2" x14ac:dyDescent="0.35">
      <c r="A1999" s="32"/>
      <c r="B1999" s="32"/>
    </row>
    <row r="2000" spans="1:2" x14ac:dyDescent="0.35">
      <c r="A2000" s="32"/>
      <c r="B2000" s="32"/>
    </row>
    <row r="2001" spans="1:2" x14ac:dyDescent="0.35">
      <c r="A2001" s="32"/>
      <c r="B2001" s="32"/>
    </row>
    <row r="2002" spans="1:2" x14ac:dyDescent="0.35">
      <c r="A2002" s="32"/>
      <c r="B2002" s="32"/>
    </row>
    <row r="2003" spans="1:2" x14ac:dyDescent="0.35">
      <c r="A2003" s="32"/>
      <c r="B2003" s="32"/>
    </row>
    <row r="2004" spans="1:2" x14ac:dyDescent="0.35">
      <c r="A2004" s="32"/>
      <c r="B2004" s="32"/>
    </row>
    <row r="2005" spans="1:2" x14ac:dyDescent="0.35">
      <c r="A2005" s="32"/>
      <c r="B2005" s="32"/>
    </row>
    <row r="2006" spans="1:2" x14ac:dyDescent="0.35">
      <c r="A2006" s="32"/>
      <c r="B2006" s="32"/>
    </row>
    <row r="2007" spans="1:2" x14ac:dyDescent="0.35">
      <c r="A2007" s="32"/>
      <c r="B2007" s="32"/>
    </row>
    <row r="2008" spans="1:2" x14ac:dyDescent="0.35">
      <c r="A2008" s="32"/>
      <c r="B2008" s="32"/>
    </row>
    <row r="2009" spans="1:2" x14ac:dyDescent="0.35">
      <c r="A2009" s="32"/>
      <c r="B2009" s="32"/>
    </row>
    <row r="2010" spans="1:2" x14ac:dyDescent="0.35">
      <c r="A2010" s="32"/>
      <c r="B2010" s="32"/>
    </row>
    <row r="2011" spans="1:2" x14ac:dyDescent="0.35">
      <c r="A2011" s="32"/>
      <c r="B2011" s="32"/>
    </row>
    <row r="2012" spans="1:2" x14ac:dyDescent="0.35">
      <c r="A2012" s="32"/>
      <c r="B2012" s="32"/>
    </row>
    <row r="2013" spans="1:2" x14ac:dyDescent="0.35">
      <c r="A2013" s="32"/>
      <c r="B2013" s="32"/>
    </row>
    <row r="2014" spans="1:2" x14ac:dyDescent="0.35">
      <c r="A2014" s="32"/>
      <c r="B2014" s="32"/>
    </row>
    <row r="2015" spans="1:2" x14ac:dyDescent="0.35">
      <c r="A2015" s="32"/>
      <c r="B2015" s="32"/>
    </row>
    <row r="2016" spans="1:2" x14ac:dyDescent="0.35">
      <c r="A2016" s="32"/>
      <c r="B2016" s="32"/>
    </row>
    <row r="2017" spans="1:2" x14ac:dyDescent="0.35">
      <c r="A2017" s="32"/>
      <c r="B2017" s="32"/>
    </row>
    <row r="2018" spans="1:2" x14ac:dyDescent="0.35">
      <c r="A2018" s="32"/>
      <c r="B2018" s="32"/>
    </row>
    <row r="2019" spans="1:2" x14ac:dyDescent="0.35">
      <c r="A2019" s="32"/>
      <c r="B2019" s="32"/>
    </row>
    <row r="2020" spans="1:2" x14ac:dyDescent="0.35">
      <c r="A2020" s="32"/>
      <c r="B2020" s="32"/>
    </row>
    <row r="2021" spans="1:2" x14ac:dyDescent="0.35">
      <c r="A2021" s="32"/>
      <c r="B2021" s="32"/>
    </row>
    <row r="2022" spans="1:2" x14ac:dyDescent="0.35">
      <c r="A2022" s="32"/>
      <c r="B2022" s="32"/>
    </row>
    <row r="2023" spans="1:2" x14ac:dyDescent="0.35">
      <c r="A2023" s="32"/>
      <c r="B2023" s="32"/>
    </row>
    <row r="2024" spans="1:2" x14ac:dyDescent="0.35">
      <c r="A2024" s="32"/>
      <c r="B2024" s="32"/>
    </row>
    <row r="2025" spans="1:2" x14ac:dyDescent="0.35">
      <c r="A2025" s="32"/>
      <c r="B2025" s="32"/>
    </row>
    <row r="2026" spans="1:2" x14ac:dyDescent="0.35">
      <c r="A2026" s="32"/>
      <c r="B2026" s="32"/>
    </row>
    <row r="2027" spans="1:2" x14ac:dyDescent="0.35">
      <c r="A2027" s="32"/>
      <c r="B2027" s="32"/>
    </row>
    <row r="2028" spans="1:2" x14ac:dyDescent="0.35">
      <c r="A2028" s="32"/>
      <c r="B2028" s="32"/>
    </row>
    <row r="2029" spans="1:2" x14ac:dyDescent="0.35">
      <c r="A2029" s="32"/>
      <c r="B2029" s="32"/>
    </row>
    <row r="2030" spans="1:2" x14ac:dyDescent="0.35">
      <c r="A2030" s="32"/>
      <c r="B2030" s="32"/>
    </row>
    <row r="2031" spans="1:2" x14ac:dyDescent="0.35">
      <c r="A2031" s="32"/>
      <c r="B2031" s="32"/>
    </row>
    <row r="2032" spans="1:2" x14ac:dyDescent="0.35">
      <c r="A2032" s="32"/>
      <c r="B2032" s="32"/>
    </row>
    <row r="2033" spans="1:2" x14ac:dyDescent="0.35">
      <c r="A2033" s="32"/>
      <c r="B2033" s="32"/>
    </row>
    <row r="2034" spans="1:2" x14ac:dyDescent="0.35">
      <c r="A2034" s="32"/>
      <c r="B2034" s="32"/>
    </row>
    <row r="2035" spans="1:2" x14ac:dyDescent="0.35">
      <c r="A2035" s="32"/>
      <c r="B2035" s="32"/>
    </row>
    <row r="2036" spans="1:2" x14ac:dyDescent="0.35">
      <c r="A2036" s="32"/>
      <c r="B2036" s="32"/>
    </row>
    <row r="2037" spans="1:2" x14ac:dyDescent="0.35">
      <c r="A2037" s="32"/>
      <c r="B2037" s="32"/>
    </row>
    <row r="2038" spans="1:2" x14ac:dyDescent="0.35">
      <c r="A2038" s="32"/>
      <c r="B2038" s="32"/>
    </row>
    <row r="2039" spans="1:2" x14ac:dyDescent="0.35">
      <c r="A2039" s="32"/>
      <c r="B2039" s="32"/>
    </row>
    <row r="2040" spans="1:2" x14ac:dyDescent="0.35">
      <c r="A2040" s="32"/>
      <c r="B2040" s="32"/>
    </row>
    <row r="2041" spans="1:2" x14ac:dyDescent="0.35">
      <c r="A2041" s="32"/>
      <c r="B2041" s="32"/>
    </row>
    <row r="2042" spans="1:2" x14ac:dyDescent="0.35">
      <c r="A2042" s="32"/>
      <c r="B2042" s="32"/>
    </row>
    <row r="2043" spans="1:2" x14ac:dyDescent="0.35">
      <c r="A2043" s="32"/>
      <c r="B2043" s="32"/>
    </row>
    <row r="2044" spans="1:2" x14ac:dyDescent="0.35">
      <c r="A2044" s="32"/>
      <c r="B2044" s="32"/>
    </row>
    <row r="2045" spans="1:2" x14ac:dyDescent="0.35">
      <c r="A2045" s="32"/>
      <c r="B2045" s="32"/>
    </row>
    <row r="2046" spans="1:2" x14ac:dyDescent="0.35">
      <c r="A2046" s="32"/>
      <c r="B2046" s="32"/>
    </row>
    <row r="2047" spans="1:2" x14ac:dyDescent="0.35">
      <c r="A2047" s="32"/>
      <c r="B2047" s="32"/>
    </row>
    <row r="2048" spans="1:2" x14ac:dyDescent="0.35">
      <c r="A2048" s="32"/>
      <c r="B2048" s="32"/>
    </row>
    <row r="2049" spans="1:2" x14ac:dyDescent="0.35">
      <c r="A2049" s="32"/>
      <c r="B2049" s="32"/>
    </row>
    <row r="2050" spans="1:2" x14ac:dyDescent="0.35">
      <c r="A2050" s="32"/>
      <c r="B2050" s="32"/>
    </row>
    <row r="2051" spans="1:2" x14ac:dyDescent="0.35">
      <c r="A2051" s="32"/>
      <c r="B2051" s="32"/>
    </row>
    <row r="2052" spans="1:2" x14ac:dyDescent="0.35">
      <c r="A2052" s="32"/>
      <c r="B2052" s="32"/>
    </row>
    <row r="2053" spans="1:2" x14ac:dyDescent="0.35">
      <c r="A2053" s="32"/>
      <c r="B2053" s="32"/>
    </row>
    <row r="2054" spans="1:2" x14ac:dyDescent="0.35">
      <c r="A2054" s="32"/>
      <c r="B2054" s="32"/>
    </row>
    <row r="2055" spans="1:2" x14ac:dyDescent="0.35">
      <c r="A2055" s="32"/>
      <c r="B2055" s="32"/>
    </row>
    <row r="2056" spans="1:2" x14ac:dyDescent="0.35">
      <c r="A2056" s="32"/>
      <c r="B2056" s="32"/>
    </row>
    <row r="2057" spans="1:2" x14ac:dyDescent="0.35">
      <c r="A2057" s="32"/>
      <c r="B2057" s="32"/>
    </row>
    <row r="2058" spans="1:2" x14ac:dyDescent="0.35">
      <c r="A2058" s="32"/>
      <c r="B2058" s="32"/>
    </row>
    <row r="2059" spans="1:2" x14ac:dyDescent="0.35">
      <c r="A2059" s="32"/>
      <c r="B2059" s="32"/>
    </row>
    <row r="2060" spans="1:2" x14ac:dyDescent="0.35">
      <c r="A2060" s="32"/>
      <c r="B2060" s="32"/>
    </row>
    <row r="2061" spans="1:2" x14ac:dyDescent="0.35">
      <c r="A2061" s="32"/>
      <c r="B2061" s="32"/>
    </row>
    <row r="2062" spans="1:2" x14ac:dyDescent="0.35">
      <c r="A2062" s="32"/>
      <c r="B2062" s="32"/>
    </row>
    <row r="2063" spans="1:2" x14ac:dyDescent="0.35">
      <c r="A2063" s="32"/>
      <c r="B2063" s="32"/>
    </row>
    <row r="2064" spans="1:2" x14ac:dyDescent="0.35">
      <c r="A2064" s="32"/>
      <c r="B2064" s="32"/>
    </row>
    <row r="2065" spans="1:2" x14ac:dyDescent="0.35">
      <c r="A2065" s="32"/>
      <c r="B2065" s="32"/>
    </row>
    <row r="2066" spans="1:2" x14ac:dyDescent="0.35">
      <c r="A2066" s="32"/>
      <c r="B2066" s="32"/>
    </row>
    <row r="2067" spans="1:2" x14ac:dyDescent="0.35">
      <c r="A2067" s="32"/>
      <c r="B2067" s="32"/>
    </row>
    <row r="2068" spans="1:2" x14ac:dyDescent="0.35">
      <c r="A2068" s="32"/>
      <c r="B2068" s="32"/>
    </row>
    <row r="2069" spans="1:2" x14ac:dyDescent="0.35">
      <c r="A2069" s="32"/>
      <c r="B2069" s="32"/>
    </row>
    <row r="2070" spans="1:2" x14ac:dyDescent="0.35">
      <c r="A2070" s="32"/>
      <c r="B2070" s="32"/>
    </row>
    <row r="2071" spans="1:2" x14ac:dyDescent="0.35">
      <c r="A2071" s="32"/>
      <c r="B2071" s="32"/>
    </row>
    <row r="2072" spans="1:2" x14ac:dyDescent="0.35">
      <c r="A2072" s="32"/>
      <c r="B2072" s="32"/>
    </row>
    <row r="2073" spans="1:2" x14ac:dyDescent="0.35">
      <c r="A2073" s="32"/>
      <c r="B2073" s="32"/>
    </row>
    <row r="2074" spans="1:2" x14ac:dyDescent="0.35">
      <c r="A2074" s="32"/>
      <c r="B2074" s="32"/>
    </row>
    <row r="2075" spans="1:2" x14ac:dyDescent="0.35">
      <c r="A2075" s="32"/>
      <c r="B2075" s="32"/>
    </row>
    <row r="2076" spans="1:2" x14ac:dyDescent="0.35">
      <c r="A2076" s="32"/>
      <c r="B2076" s="32"/>
    </row>
    <row r="2077" spans="1:2" x14ac:dyDescent="0.35">
      <c r="A2077" s="32"/>
      <c r="B2077" s="32"/>
    </row>
    <row r="2078" spans="1:2" x14ac:dyDescent="0.35">
      <c r="A2078" s="32"/>
      <c r="B2078" s="32"/>
    </row>
    <row r="2079" spans="1:2" x14ac:dyDescent="0.35">
      <c r="A2079" s="32"/>
      <c r="B2079" s="32"/>
    </row>
    <row r="2080" spans="1:2" x14ac:dyDescent="0.35">
      <c r="A2080" s="32"/>
      <c r="B2080" s="32"/>
    </row>
    <row r="2081" spans="1:2" x14ac:dyDescent="0.35">
      <c r="A2081" s="32"/>
      <c r="B2081" s="32"/>
    </row>
    <row r="2082" spans="1:2" x14ac:dyDescent="0.35">
      <c r="A2082" s="32"/>
      <c r="B2082" s="32"/>
    </row>
    <row r="2083" spans="1:2" x14ac:dyDescent="0.35">
      <c r="A2083" s="32"/>
      <c r="B2083" s="32"/>
    </row>
    <row r="2084" spans="1:2" x14ac:dyDescent="0.35">
      <c r="A2084" s="32"/>
      <c r="B2084" s="32"/>
    </row>
    <row r="2085" spans="1:2" x14ac:dyDescent="0.35">
      <c r="A2085" s="32"/>
      <c r="B2085" s="32"/>
    </row>
    <row r="2086" spans="1:2" x14ac:dyDescent="0.35">
      <c r="A2086" s="32"/>
      <c r="B2086" s="32"/>
    </row>
    <row r="2087" spans="1:2" x14ac:dyDescent="0.35">
      <c r="A2087" s="32"/>
      <c r="B2087" s="32"/>
    </row>
    <row r="2088" spans="1:2" x14ac:dyDescent="0.35">
      <c r="A2088" s="32"/>
      <c r="B2088" s="32"/>
    </row>
    <row r="2089" spans="1:2" x14ac:dyDescent="0.35">
      <c r="A2089" s="32"/>
      <c r="B2089" s="32"/>
    </row>
    <row r="2090" spans="1:2" x14ac:dyDescent="0.35">
      <c r="A2090" s="32"/>
      <c r="B2090" s="32"/>
    </row>
    <row r="2091" spans="1:2" x14ac:dyDescent="0.35">
      <c r="A2091" s="32"/>
      <c r="B2091" s="32"/>
    </row>
    <row r="2092" spans="1:2" x14ac:dyDescent="0.35">
      <c r="A2092" s="32"/>
      <c r="B2092" s="32"/>
    </row>
    <row r="2093" spans="1:2" x14ac:dyDescent="0.35">
      <c r="A2093" s="32"/>
      <c r="B2093" s="32"/>
    </row>
    <row r="2094" spans="1:2" x14ac:dyDescent="0.35">
      <c r="A2094" s="32"/>
      <c r="B2094" s="32"/>
    </row>
    <row r="2095" spans="1:2" x14ac:dyDescent="0.35">
      <c r="A2095" s="32"/>
      <c r="B2095" s="32"/>
    </row>
    <row r="2096" spans="1:2" x14ac:dyDescent="0.35">
      <c r="A2096" s="32"/>
      <c r="B2096" s="32"/>
    </row>
    <row r="2097" spans="1:2" x14ac:dyDescent="0.35">
      <c r="A2097" s="32"/>
      <c r="B2097" s="32"/>
    </row>
    <row r="2098" spans="1:2" x14ac:dyDescent="0.35">
      <c r="A2098" s="32"/>
      <c r="B2098" s="32"/>
    </row>
    <row r="2099" spans="1:2" x14ac:dyDescent="0.35">
      <c r="A2099" s="32"/>
      <c r="B2099" s="32"/>
    </row>
    <row r="2100" spans="1:2" x14ac:dyDescent="0.35">
      <c r="A2100" s="32"/>
      <c r="B2100" s="32"/>
    </row>
    <row r="2101" spans="1:2" x14ac:dyDescent="0.35">
      <c r="A2101" s="32"/>
      <c r="B2101" s="32"/>
    </row>
    <row r="2102" spans="1:2" x14ac:dyDescent="0.35">
      <c r="A2102" s="32"/>
      <c r="B2102" s="32"/>
    </row>
    <row r="2103" spans="1:2" x14ac:dyDescent="0.35">
      <c r="A2103" s="32"/>
      <c r="B2103" s="32"/>
    </row>
    <row r="2104" spans="1:2" x14ac:dyDescent="0.35">
      <c r="A2104" s="32"/>
      <c r="B2104" s="32"/>
    </row>
    <row r="2105" spans="1:2" x14ac:dyDescent="0.35">
      <c r="A2105" s="32"/>
      <c r="B2105" s="32"/>
    </row>
    <row r="2106" spans="1:2" x14ac:dyDescent="0.35">
      <c r="A2106" s="32"/>
      <c r="B2106" s="32"/>
    </row>
    <row r="2107" spans="1:2" x14ac:dyDescent="0.35">
      <c r="A2107" s="32"/>
      <c r="B2107" s="32"/>
    </row>
    <row r="2108" spans="1:2" x14ac:dyDescent="0.35">
      <c r="A2108" s="32"/>
      <c r="B2108" s="32"/>
    </row>
    <row r="2109" spans="1:2" x14ac:dyDescent="0.35">
      <c r="A2109" s="32"/>
      <c r="B2109" s="32"/>
    </row>
    <row r="2110" spans="1:2" x14ac:dyDescent="0.35">
      <c r="A2110" s="32"/>
      <c r="B2110" s="32"/>
    </row>
    <row r="2111" spans="1:2" x14ac:dyDescent="0.35">
      <c r="A2111" s="32"/>
      <c r="B2111" s="32"/>
    </row>
    <row r="2112" spans="1:2" x14ac:dyDescent="0.35">
      <c r="A2112" s="32"/>
      <c r="B2112" s="32"/>
    </row>
    <row r="2113" spans="1:2" x14ac:dyDescent="0.35">
      <c r="A2113" s="32"/>
      <c r="B2113" s="32"/>
    </row>
    <row r="2114" spans="1:2" x14ac:dyDescent="0.35">
      <c r="A2114" s="32"/>
      <c r="B2114" s="32"/>
    </row>
    <row r="2115" spans="1:2" x14ac:dyDescent="0.35">
      <c r="A2115" s="32"/>
      <c r="B2115" s="32"/>
    </row>
    <row r="2116" spans="1:2" x14ac:dyDescent="0.35">
      <c r="A2116" s="32"/>
      <c r="B2116" s="32"/>
    </row>
    <row r="2117" spans="1:2" x14ac:dyDescent="0.35">
      <c r="A2117" s="32"/>
      <c r="B2117" s="32"/>
    </row>
    <row r="2118" spans="1:2" x14ac:dyDescent="0.35">
      <c r="A2118" s="32"/>
      <c r="B2118" s="32"/>
    </row>
    <row r="2119" spans="1:2" x14ac:dyDescent="0.35">
      <c r="A2119" s="32"/>
      <c r="B2119" s="32"/>
    </row>
    <row r="2120" spans="1:2" x14ac:dyDescent="0.35">
      <c r="A2120" s="32"/>
      <c r="B2120" s="32"/>
    </row>
    <row r="2121" spans="1:2" x14ac:dyDescent="0.35">
      <c r="A2121" s="32"/>
      <c r="B2121" s="32"/>
    </row>
    <row r="2122" spans="1:2" x14ac:dyDescent="0.35">
      <c r="A2122" s="32"/>
      <c r="B2122" s="32"/>
    </row>
    <row r="2123" spans="1:2" x14ac:dyDescent="0.35">
      <c r="A2123" s="32"/>
      <c r="B2123" s="32"/>
    </row>
    <row r="2124" spans="1:2" x14ac:dyDescent="0.35">
      <c r="A2124" s="32"/>
      <c r="B2124" s="32"/>
    </row>
    <row r="2125" spans="1:2" x14ac:dyDescent="0.35">
      <c r="A2125" s="32"/>
      <c r="B2125" s="32"/>
    </row>
    <row r="2126" spans="1:2" x14ac:dyDescent="0.35">
      <c r="A2126" s="32"/>
      <c r="B2126" s="32"/>
    </row>
    <row r="2127" spans="1:2" x14ac:dyDescent="0.35">
      <c r="A2127" s="32"/>
      <c r="B2127" s="32"/>
    </row>
    <row r="2128" spans="1:2" x14ac:dyDescent="0.35">
      <c r="A2128" s="32"/>
      <c r="B2128" s="32"/>
    </row>
    <row r="2129" spans="1:2" x14ac:dyDescent="0.35">
      <c r="A2129" s="32"/>
      <c r="B2129" s="32"/>
    </row>
    <row r="2130" spans="1:2" x14ac:dyDescent="0.35">
      <c r="A2130" s="32"/>
      <c r="B2130" s="32"/>
    </row>
    <row r="2131" spans="1:2" x14ac:dyDescent="0.35">
      <c r="A2131" s="32"/>
      <c r="B2131" s="32"/>
    </row>
    <row r="2132" spans="1:2" x14ac:dyDescent="0.35">
      <c r="A2132" s="32"/>
      <c r="B2132" s="32"/>
    </row>
    <row r="2133" spans="1:2" x14ac:dyDescent="0.35">
      <c r="A2133" s="32"/>
      <c r="B2133" s="32"/>
    </row>
    <row r="2134" spans="1:2" x14ac:dyDescent="0.35">
      <c r="A2134" s="32"/>
      <c r="B2134" s="32"/>
    </row>
    <row r="2135" spans="1:2" x14ac:dyDescent="0.35">
      <c r="A2135" s="32"/>
      <c r="B2135" s="32"/>
    </row>
    <row r="2136" spans="1:2" x14ac:dyDescent="0.35">
      <c r="A2136" s="32"/>
      <c r="B2136" s="32"/>
    </row>
    <row r="2137" spans="1:2" x14ac:dyDescent="0.35">
      <c r="A2137" s="32"/>
      <c r="B2137" s="32"/>
    </row>
    <row r="2138" spans="1:2" x14ac:dyDescent="0.35">
      <c r="A2138" s="32"/>
      <c r="B2138" s="32"/>
    </row>
    <row r="2139" spans="1:2" x14ac:dyDescent="0.35">
      <c r="A2139" s="32"/>
      <c r="B2139" s="32"/>
    </row>
    <row r="2140" spans="1:2" x14ac:dyDescent="0.35">
      <c r="A2140" s="32"/>
      <c r="B2140" s="32"/>
    </row>
    <row r="2141" spans="1:2" x14ac:dyDescent="0.35">
      <c r="A2141" s="32"/>
      <c r="B2141" s="32"/>
    </row>
    <row r="2142" spans="1:2" x14ac:dyDescent="0.35">
      <c r="A2142" s="32"/>
      <c r="B2142" s="32"/>
    </row>
    <row r="2143" spans="1:2" x14ac:dyDescent="0.35">
      <c r="A2143" s="32"/>
      <c r="B2143" s="32"/>
    </row>
    <row r="2144" spans="1:2" x14ac:dyDescent="0.35">
      <c r="A2144" s="32"/>
      <c r="B2144" s="32"/>
    </row>
    <row r="2145" spans="1:2" x14ac:dyDescent="0.35">
      <c r="A2145" s="32"/>
      <c r="B2145" s="32"/>
    </row>
    <row r="2146" spans="1:2" x14ac:dyDescent="0.35">
      <c r="A2146" s="32"/>
      <c r="B2146" s="32"/>
    </row>
    <row r="2147" spans="1:2" x14ac:dyDescent="0.35">
      <c r="A2147" s="32"/>
      <c r="B2147" s="32"/>
    </row>
    <row r="2148" spans="1:2" x14ac:dyDescent="0.35">
      <c r="A2148" s="32"/>
      <c r="B2148" s="32"/>
    </row>
    <row r="2149" spans="1:2" x14ac:dyDescent="0.35">
      <c r="A2149" s="32"/>
      <c r="B2149" s="32"/>
    </row>
    <row r="2150" spans="1:2" x14ac:dyDescent="0.35">
      <c r="A2150" s="32"/>
      <c r="B2150" s="32"/>
    </row>
    <row r="2151" spans="1:2" x14ac:dyDescent="0.35">
      <c r="A2151" s="32"/>
      <c r="B2151" s="32"/>
    </row>
    <row r="2152" spans="1:2" x14ac:dyDescent="0.35">
      <c r="A2152" s="32"/>
      <c r="B2152" s="32"/>
    </row>
    <row r="2153" spans="1:2" x14ac:dyDescent="0.35">
      <c r="A2153" s="32"/>
      <c r="B2153" s="32"/>
    </row>
    <row r="2154" spans="1:2" x14ac:dyDescent="0.35">
      <c r="A2154" s="32"/>
      <c r="B2154" s="32"/>
    </row>
    <row r="2155" spans="1:2" x14ac:dyDescent="0.35">
      <c r="A2155" s="32"/>
      <c r="B2155" s="32"/>
    </row>
    <row r="2156" spans="1:2" x14ac:dyDescent="0.35">
      <c r="A2156" s="32"/>
      <c r="B2156" s="32"/>
    </row>
    <row r="2157" spans="1:2" x14ac:dyDescent="0.35">
      <c r="A2157" s="32"/>
      <c r="B2157" s="32"/>
    </row>
    <row r="2158" spans="1:2" x14ac:dyDescent="0.35">
      <c r="A2158" s="32"/>
      <c r="B2158" s="32"/>
    </row>
    <row r="2159" spans="1:2" x14ac:dyDescent="0.35">
      <c r="A2159" s="32"/>
      <c r="B2159" s="32"/>
    </row>
    <row r="2160" spans="1:2" x14ac:dyDescent="0.35">
      <c r="A2160" s="32"/>
      <c r="B2160" s="32"/>
    </row>
    <row r="2161" spans="1:2" x14ac:dyDescent="0.35">
      <c r="A2161" s="32"/>
      <c r="B2161" s="32"/>
    </row>
    <row r="2162" spans="1:2" x14ac:dyDescent="0.35">
      <c r="A2162" s="32"/>
      <c r="B2162" s="32"/>
    </row>
    <row r="2163" spans="1:2" x14ac:dyDescent="0.35">
      <c r="A2163" s="32"/>
      <c r="B2163" s="32"/>
    </row>
    <row r="2164" spans="1:2" x14ac:dyDescent="0.35">
      <c r="A2164" s="32"/>
      <c r="B2164" s="32"/>
    </row>
    <row r="2165" spans="1:2" x14ac:dyDescent="0.35">
      <c r="A2165" s="32"/>
      <c r="B2165" s="32"/>
    </row>
    <row r="2166" spans="1:2" x14ac:dyDescent="0.35">
      <c r="A2166" s="32"/>
      <c r="B2166" s="32"/>
    </row>
    <row r="2167" spans="1:2" x14ac:dyDescent="0.35">
      <c r="A2167" s="32"/>
      <c r="B2167" s="32"/>
    </row>
    <row r="2168" spans="1:2" x14ac:dyDescent="0.35">
      <c r="A2168" s="32"/>
      <c r="B2168" s="32"/>
    </row>
    <row r="2169" spans="1:2" x14ac:dyDescent="0.35">
      <c r="A2169" s="32"/>
      <c r="B2169" s="32"/>
    </row>
    <row r="2170" spans="1:2" x14ac:dyDescent="0.35">
      <c r="A2170" s="32"/>
      <c r="B2170" s="32"/>
    </row>
    <row r="2171" spans="1:2" x14ac:dyDescent="0.35">
      <c r="A2171" s="32"/>
      <c r="B2171" s="32"/>
    </row>
    <row r="2172" spans="1:2" x14ac:dyDescent="0.35">
      <c r="A2172" s="32"/>
      <c r="B2172" s="32"/>
    </row>
    <row r="2173" spans="1:2" x14ac:dyDescent="0.35">
      <c r="A2173" s="32"/>
      <c r="B2173" s="32"/>
    </row>
    <row r="2174" spans="1:2" x14ac:dyDescent="0.35">
      <c r="A2174" s="32"/>
      <c r="B2174" s="32"/>
    </row>
    <row r="2175" spans="1:2" x14ac:dyDescent="0.35">
      <c r="A2175" s="32"/>
      <c r="B2175" s="32"/>
    </row>
    <row r="2176" spans="1:2" x14ac:dyDescent="0.35">
      <c r="A2176" s="32"/>
      <c r="B2176" s="32"/>
    </row>
    <row r="2177" spans="1:2" x14ac:dyDescent="0.35">
      <c r="A2177" s="32"/>
      <c r="B2177" s="32"/>
    </row>
    <row r="2178" spans="1:2" x14ac:dyDescent="0.35">
      <c r="A2178" s="32"/>
      <c r="B2178" s="32"/>
    </row>
    <row r="2179" spans="1:2" x14ac:dyDescent="0.35">
      <c r="A2179" s="32"/>
      <c r="B2179" s="32"/>
    </row>
    <row r="2180" spans="1:2" x14ac:dyDescent="0.35">
      <c r="A2180" s="32"/>
      <c r="B2180" s="32"/>
    </row>
    <row r="2181" spans="1:2" x14ac:dyDescent="0.35">
      <c r="A2181" s="32"/>
      <c r="B2181" s="32"/>
    </row>
    <row r="2182" spans="1:2" x14ac:dyDescent="0.35">
      <c r="A2182" s="32"/>
      <c r="B2182" s="32"/>
    </row>
    <row r="2183" spans="1:2" x14ac:dyDescent="0.35">
      <c r="A2183" s="32"/>
      <c r="B2183" s="32"/>
    </row>
    <row r="2184" spans="1:2" x14ac:dyDescent="0.35">
      <c r="A2184" s="32"/>
      <c r="B2184" s="32"/>
    </row>
    <row r="2185" spans="1:2" x14ac:dyDescent="0.35">
      <c r="A2185" s="32"/>
      <c r="B2185" s="32"/>
    </row>
    <row r="2186" spans="1:2" x14ac:dyDescent="0.35">
      <c r="A2186" s="32"/>
      <c r="B2186" s="32"/>
    </row>
    <row r="2187" spans="1:2" x14ac:dyDescent="0.35">
      <c r="A2187" s="32"/>
      <c r="B2187" s="32"/>
    </row>
    <row r="2188" spans="1:2" x14ac:dyDescent="0.35">
      <c r="A2188" s="32"/>
      <c r="B2188" s="32"/>
    </row>
    <row r="2189" spans="1:2" x14ac:dyDescent="0.35">
      <c r="A2189" s="32"/>
      <c r="B2189" s="32"/>
    </row>
    <row r="2190" spans="1:2" x14ac:dyDescent="0.35">
      <c r="A2190" s="32"/>
      <c r="B2190" s="32"/>
    </row>
    <row r="2191" spans="1:2" x14ac:dyDescent="0.35">
      <c r="A2191" s="32"/>
      <c r="B2191" s="32"/>
    </row>
    <row r="2192" spans="1:2" x14ac:dyDescent="0.35">
      <c r="A2192" s="32"/>
      <c r="B2192" s="32"/>
    </row>
    <row r="2193" spans="1:2" x14ac:dyDescent="0.35">
      <c r="A2193" s="32"/>
      <c r="B2193" s="32"/>
    </row>
    <row r="2194" spans="1:2" x14ac:dyDescent="0.35">
      <c r="A2194" s="32"/>
      <c r="B2194" s="32"/>
    </row>
    <row r="2195" spans="1:2" x14ac:dyDescent="0.35">
      <c r="A2195" s="32"/>
      <c r="B2195" s="32"/>
    </row>
    <row r="2196" spans="1:2" x14ac:dyDescent="0.35">
      <c r="A2196" s="32"/>
      <c r="B2196" s="32"/>
    </row>
    <row r="2197" spans="1:2" x14ac:dyDescent="0.35">
      <c r="A2197" s="32"/>
      <c r="B2197" s="32"/>
    </row>
    <row r="2198" spans="1:2" x14ac:dyDescent="0.35">
      <c r="A2198" s="32"/>
      <c r="B2198" s="32"/>
    </row>
    <row r="2199" spans="1:2" x14ac:dyDescent="0.35">
      <c r="A2199" s="32"/>
      <c r="B2199" s="32"/>
    </row>
    <row r="2200" spans="1:2" x14ac:dyDescent="0.35">
      <c r="A2200" s="32"/>
      <c r="B2200" s="32"/>
    </row>
    <row r="2201" spans="1:2" x14ac:dyDescent="0.35">
      <c r="A2201" s="32"/>
      <c r="B2201" s="32"/>
    </row>
    <row r="2202" spans="1:2" x14ac:dyDescent="0.35">
      <c r="A2202" s="32"/>
      <c r="B2202" s="32"/>
    </row>
    <row r="2203" spans="1:2" x14ac:dyDescent="0.35">
      <c r="A2203" s="32"/>
      <c r="B2203" s="32"/>
    </row>
    <row r="2204" spans="1:2" x14ac:dyDescent="0.35">
      <c r="A2204" s="32"/>
      <c r="B2204" s="32"/>
    </row>
    <row r="2205" spans="1:2" x14ac:dyDescent="0.35">
      <c r="A2205" s="32"/>
      <c r="B2205" s="32"/>
    </row>
    <row r="2206" spans="1:2" x14ac:dyDescent="0.35">
      <c r="A2206" s="32"/>
      <c r="B2206" s="32"/>
    </row>
    <row r="2207" spans="1:2" x14ac:dyDescent="0.35">
      <c r="A2207" s="32"/>
      <c r="B2207" s="32"/>
    </row>
    <row r="2208" spans="1:2" x14ac:dyDescent="0.35">
      <c r="A2208" s="32"/>
      <c r="B2208" s="32"/>
    </row>
    <row r="2209" spans="1:2" x14ac:dyDescent="0.35">
      <c r="A2209" s="32"/>
      <c r="B2209" s="32"/>
    </row>
    <row r="2210" spans="1:2" x14ac:dyDescent="0.35">
      <c r="A2210" s="32"/>
      <c r="B2210" s="32"/>
    </row>
    <row r="2211" spans="1:2" x14ac:dyDescent="0.35">
      <c r="A2211" s="32"/>
      <c r="B2211" s="32"/>
    </row>
    <row r="2212" spans="1:2" x14ac:dyDescent="0.35">
      <c r="A2212" s="32"/>
      <c r="B2212" s="32"/>
    </row>
    <row r="2213" spans="1:2" x14ac:dyDescent="0.35">
      <c r="A2213" s="32"/>
      <c r="B2213" s="32"/>
    </row>
    <row r="2214" spans="1:2" x14ac:dyDescent="0.35">
      <c r="A2214" s="32"/>
      <c r="B2214" s="32"/>
    </row>
    <row r="2215" spans="1:2" x14ac:dyDescent="0.35">
      <c r="A2215" s="32"/>
      <c r="B2215" s="32"/>
    </row>
    <row r="2216" spans="1:2" x14ac:dyDescent="0.35">
      <c r="A2216" s="32"/>
      <c r="B2216" s="32"/>
    </row>
    <row r="2217" spans="1:2" x14ac:dyDescent="0.35">
      <c r="A2217" s="32"/>
      <c r="B2217" s="32"/>
    </row>
    <row r="2218" spans="1:2" x14ac:dyDescent="0.35">
      <c r="A2218" s="32"/>
      <c r="B2218" s="32"/>
    </row>
    <row r="2219" spans="1:2" x14ac:dyDescent="0.35">
      <c r="A2219" s="32"/>
      <c r="B2219" s="32"/>
    </row>
    <row r="2220" spans="1:2" x14ac:dyDescent="0.35">
      <c r="A2220" s="32"/>
      <c r="B2220" s="32"/>
    </row>
    <row r="2221" spans="1:2" x14ac:dyDescent="0.35">
      <c r="A2221" s="32"/>
      <c r="B2221" s="32"/>
    </row>
    <row r="2222" spans="1:2" x14ac:dyDescent="0.35">
      <c r="A2222" s="32"/>
      <c r="B2222" s="32"/>
    </row>
    <row r="2223" spans="1:2" x14ac:dyDescent="0.35">
      <c r="A2223" s="32"/>
      <c r="B2223" s="32"/>
    </row>
    <row r="2224" spans="1:2" x14ac:dyDescent="0.35">
      <c r="A2224" s="32"/>
      <c r="B2224" s="32"/>
    </row>
    <row r="2225" spans="1:2" x14ac:dyDescent="0.35">
      <c r="A2225" s="32"/>
      <c r="B2225" s="32"/>
    </row>
    <row r="2226" spans="1:2" x14ac:dyDescent="0.35">
      <c r="A2226" s="32"/>
      <c r="B2226" s="32"/>
    </row>
    <row r="2227" spans="1:2" x14ac:dyDescent="0.35">
      <c r="A2227" s="32"/>
      <c r="B2227" s="32"/>
    </row>
    <row r="2228" spans="1:2" x14ac:dyDescent="0.35">
      <c r="A2228" s="32"/>
      <c r="B2228" s="32"/>
    </row>
    <row r="2229" spans="1:2" x14ac:dyDescent="0.35">
      <c r="A2229" s="32"/>
      <c r="B2229" s="32"/>
    </row>
    <row r="2230" spans="1:2" x14ac:dyDescent="0.35">
      <c r="A2230" s="32"/>
      <c r="B2230" s="32"/>
    </row>
    <row r="2231" spans="1:2" x14ac:dyDescent="0.35">
      <c r="A2231" s="32"/>
      <c r="B2231" s="32"/>
    </row>
    <row r="2232" spans="1:2" x14ac:dyDescent="0.35">
      <c r="A2232" s="32"/>
      <c r="B2232" s="32"/>
    </row>
    <row r="2233" spans="1:2" x14ac:dyDescent="0.35">
      <c r="A2233" s="32"/>
      <c r="B2233" s="32"/>
    </row>
    <row r="2234" spans="1:2" x14ac:dyDescent="0.35">
      <c r="A2234" s="32"/>
      <c r="B2234" s="32"/>
    </row>
    <row r="2235" spans="1:2" x14ac:dyDescent="0.35">
      <c r="A2235" s="32"/>
      <c r="B2235" s="32"/>
    </row>
    <row r="2236" spans="1:2" x14ac:dyDescent="0.35">
      <c r="A2236" s="32"/>
      <c r="B2236" s="32"/>
    </row>
    <row r="2237" spans="1:2" x14ac:dyDescent="0.35">
      <c r="A2237" s="32"/>
      <c r="B2237" s="32"/>
    </row>
    <row r="2238" spans="1:2" x14ac:dyDescent="0.35">
      <c r="A2238" s="32"/>
      <c r="B2238" s="32"/>
    </row>
    <row r="2239" spans="1:2" x14ac:dyDescent="0.35">
      <c r="A2239" s="32"/>
      <c r="B2239" s="32"/>
    </row>
    <row r="2240" spans="1:2" x14ac:dyDescent="0.35">
      <c r="A2240" s="32"/>
      <c r="B2240" s="32"/>
    </row>
    <row r="2241" spans="1:2" x14ac:dyDescent="0.35">
      <c r="A2241" s="32"/>
      <c r="B2241" s="32"/>
    </row>
    <row r="2242" spans="1:2" x14ac:dyDescent="0.35">
      <c r="A2242" s="32"/>
      <c r="B2242" s="32"/>
    </row>
    <row r="2243" spans="1:2" x14ac:dyDescent="0.35">
      <c r="A2243" s="32"/>
      <c r="B2243" s="32"/>
    </row>
    <row r="2244" spans="1:2" x14ac:dyDescent="0.35">
      <c r="A2244" s="32"/>
      <c r="B2244" s="32"/>
    </row>
    <row r="2245" spans="1:2" x14ac:dyDescent="0.35">
      <c r="A2245" s="32"/>
      <c r="B2245" s="32"/>
    </row>
    <row r="2246" spans="1:2" x14ac:dyDescent="0.35">
      <c r="A2246" s="32"/>
      <c r="B2246" s="32"/>
    </row>
    <row r="2247" spans="1:2" x14ac:dyDescent="0.35">
      <c r="A2247" s="32"/>
      <c r="B2247" s="32"/>
    </row>
    <row r="2248" spans="1:2" x14ac:dyDescent="0.35">
      <c r="A2248" s="32"/>
      <c r="B2248" s="32"/>
    </row>
    <row r="2249" spans="1:2" x14ac:dyDescent="0.35">
      <c r="A2249" s="32"/>
      <c r="B2249" s="32"/>
    </row>
    <row r="2250" spans="1:2" x14ac:dyDescent="0.35">
      <c r="A2250" s="32"/>
      <c r="B2250" s="32"/>
    </row>
    <row r="2251" spans="1:2" x14ac:dyDescent="0.35">
      <c r="A2251" s="32"/>
      <c r="B2251" s="32"/>
    </row>
    <row r="2252" spans="1:2" x14ac:dyDescent="0.35">
      <c r="A2252" s="32"/>
      <c r="B2252" s="32"/>
    </row>
    <row r="2253" spans="1:2" x14ac:dyDescent="0.35">
      <c r="A2253" s="32"/>
      <c r="B2253" s="32"/>
    </row>
    <row r="2254" spans="1:2" x14ac:dyDescent="0.35">
      <c r="A2254" s="32"/>
      <c r="B2254" s="32"/>
    </row>
    <row r="2255" spans="1:2" x14ac:dyDescent="0.35">
      <c r="A2255" s="32"/>
      <c r="B2255" s="32"/>
    </row>
    <row r="2256" spans="1:2" x14ac:dyDescent="0.35">
      <c r="A2256" s="32"/>
      <c r="B2256" s="32"/>
    </row>
    <row r="2257" spans="1:2" x14ac:dyDescent="0.35">
      <c r="A2257" s="32"/>
      <c r="B2257" s="32"/>
    </row>
    <row r="2258" spans="1:2" x14ac:dyDescent="0.35">
      <c r="A2258" s="32"/>
      <c r="B2258" s="32"/>
    </row>
    <row r="2259" spans="1:2" x14ac:dyDescent="0.35">
      <c r="A2259" s="32"/>
      <c r="B2259" s="32"/>
    </row>
    <row r="2260" spans="1:2" x14ac:dyDescent="0.35">
      <c r="A2260" s="32"/>
      <c r="B2260" s="32"/>
    </row>
    <row r="2261" spans="1:2" x14ac:dyDescent="0.35">
      <c r="A2261" s="32"/>
      <c r="B2261" s="32"/>
    </row>
    <row r="2262" spans="1:2" x14ac:dyDescent="0.35">
      <c r="A2262" s="32"/>
      <c r="B2262" s="32"/>
    </row>
    <row r="2263" spans="1:2" x14ac:dyDescent="0.35">
      <c r="A2263" s="32"/>
      <c r="B2263" s="32"/>
    </row>
    <row r="2264" spans="1:2" x14ac:dyDescent="0.35">
      <c r="A2264" s="32"/>
      <c r="B2264" s="32"/>
    </row>
    <row r="2265" spans="1:2" x14ac:dyDescent="0.35">
      <c r="A2265" s="32"/>
      <c r="B2265" s="32"/>
    </row>
    <row r="2266" spans="1:2" x14ac:dyDescent="0.35">
      <c r="A2266" s="32"/>
      <c r="B2266" s="32"/>
    </row>
    <row r="2267" spans="1:2" x14ac:dyDescent="0.35">
      <c r="A2267" s="32"/>
      <c r="B2267" s="32"/>
    </row>
    <row r="2268" spans="1:2" x14ac:dyDescent="0.35">
      <c r="A2268" s="32"/>
      <c r="B2268" s="32"/>
    </row>
    <row r="2269" spans="1:2" x14ac:dyDescent="0.35">
      <c r="A2269" s="32"/>
      <c r="B2269" s="32"/>
    </row>
    <row r="2270" spans="1:2" x14ac:dyDescent="0.35">
      <c r="A2270" s="32"/>
      <c r="B2270" s="32"/>
    </row>
    <row r="2271" spans="1:2" x14ac:dyDescent="0.35">
      <c r="A2271" s="32"/>
      <c r="B2271" s="32"/>
    </row>
    <row r="2272" spans="1:2" x14ac:dyDescent="0.35">
      <c r="A2272" s="32"/>
      <c r="B2272" s="32"/>
    </row>
    <row r="2273" spans="1:2" x14ac:dyDescent="0.35">
      <c r="A2273" s="32"/>
      <c r="B2273" s="32"/>
    </row>
    <row r="2274" spans="1:2" x14ac:dyDescent="0.35">
      <c r="A2274" s="32"/>
      <c r="B2274" s="32"/>
    </row>
    <row r="2275" spans="1:2" x14ac:dyDescent="0.35">
      <c r="A2275" s="32"/>
      <c r="B2275" s="32"/>
    </row>
    <row r="2276" spans="1:2" x14ac:dyDescent="0.35">
      <c r="A2276" s="32"/>
      <c r="B2276" s="32"/>
    </row>
    <row r="2277" spans="1:2" x14ac:dyDescent="0.35">
      <c r="A2277" s="32"/>
      <c r="B2277" s="32"/>
    </row>
    <row r="2278" spans="1:2" x14ac:dyDescent="0.35">
      <c r="A2278" s="32"/>
      <c r="B2278" s="32"/>
    </row>
    <row r="2279" spans="1:2" x14ac:dyDescent="0.35">
      <c r="A2279" s="32"/>
      <c r="B2279" s="32"/>
    </row>
    <row r="2280" spans="1:2" x14ac:dyDescent="0.35">
      <c r="A2280" s="32"/>
      <c r="B2280" s="32"/>
    </row>
    <row r="2281" spans="1:2" x14ac:dyDescent="0.35">
      <c r="A2281" s="32"/>
      <c r="B2281" s="32"/>
    </row>
    <row r="2282" spans="1:2" x14ac:dyDescent="0.35">
      <c r="A2282" s="32"/>
      <c r="B2282" s="32"/>
    </row>
    <row r="2283" spans="1:2" x14ac:dyDescent="0.35">
      <c r="A2283" s="32"/>
      <c r="B2283" s="32"/>
    </row>
    <row r="2284" spans="1:2" x14ac:dyDescent="0.35">
      <c r="A2284" s="32"/>
      <c r="B2284" s="32"/>
    </row>
    <row r="2285" spans="1:2" x14ac:dyDescent="0.35">
      <c r="A2285" s="32"/>
      <c r="B2285" s="32"/>
    </row>
    <row r="2286" spans="1:2" x14ac:dyDescent="0.35">
      <c r="A2286" s="32"/>
      <c r="B2286" s="32"/>
    </row>
    <row r="2287" spans="1:2" x14ac:dyDescent="0.35">
      <c r="A2287" s="32"/>
      <c r="B2287" s="32"/>
    </row>
    <row r="2288" spans="1:2" x14ac:dyDescent="0.35">
      <c r="A2288" s="32"/>
      <c r="B2288" s="32"/>
    </row>
    <row r="2289" spans="1:2" x14ac:dyDescent="0.35">
      <c r="A2289" s="32"/>
      <c r="B2289" s="32"/>
    </row>
    <row r="2290" spans="1:2" x14ac:dyDescent="0.35">
      <c r="A2290" s="32"/>
      <c r="B2290" s="32"/>
    </row>
    <row r="2291" spans="1:2" x14ac:dyDescent="0.35">
      <c r="A2291" s="32"/>
      <c r="B2291" s="32"/>
    </row>
    <row r="2292" spans="1:2" x14ac:dyDescent="0.35">
      <c r="A2292" s="32"/>
      <c r="B2292" s="32"/>
    </row>
    <row r="2293" spans="1:2" x14ac:dyDescent="0.35">
      <c r="A2293" s="32"/>
      <c r="B2293" s="32"/>
    </row>
    <row r="2294" spans="1:2" x14ac:dyDescent="0.35">
      <c r="A2294" s="32"/>
      <c r="B2294" s="32"/>
    </row>
    <row r="2295" spans="1:2" x14ac:dyDescent="0.35">
      <c r="A2295" s="32"/>
      <c r="B2295" s="32"/>
    </row>
    <row r="2296" spans="1:2" x14ac:dyDescent="0.35">
      <c r="A2296" s="32"/>
      <c r="B2296" s="32"/>
    </row>
    <row r="2297" spans="1:2" x14ac:dyDescent="0.35">
      <c r="A2297" s="32"/>
      <c r="B2297" s="32"/>
    </row>
    <row r="2298" spans="1:2" x14ac:dyDescent="0.35">
      <c r="A2298" s="32"/>
      <c r="B2298" s="32"/>
    </row>
    <row r="2299" spans="1:2" x14ac:dyDescent="0.35">
      <c r="A2299" s="32"/>
      <c r="B2299" s="32"/>
    </row>
    <row r="2300" spans="1:2" x14ac:dyDescent="0.35">
      <c r="A2300" s="32"/>
      <c r="B2300" s="32"/>
    </row>
    <row r="2301" spans="1:2" x14ac:dyDescent="0.35">
      <c r="A2301" s="32"/>
      <c r="B2301" s="32"/>
    </row>
    <row r="2302" spans="1:2" x14ac:dyDescent="0.35">
      <c r="A2302" s="32"/>
      <c r="B2302" s="32"/>
    </row>
    <row r="2303" spans="1:2" x14ac:dyDescent="0.35">
      <c r="A2303" s="32"/>
      <c r="B2303" s="32"/>
    </row>
    <row r="2304" spans="1:2" x14ac:dyDescent="0.35">
      <c r="A2304" s="32"/>
      <c r="B2304" s="32"/>
    </row>
    <row r="2305" spans="1:2" x14ac:dyDescent="0.35">
      <c r="A2305" s="32"/>
      <c r="B2305" s="32"/>
    </row>
    <row r="2306" spans="1:2" x14ac:dyDescent="0.35">
      <c r="A2306" s="32"/>
      <c r="B2306" s="32"/>
    </row>
    <row r="2307" spans="1:2" x14ac:dyDescent="0.35">
      <c r="A2307" s="32"/>
      <c r="B2307" s="32"/>
    </row>
    <row r="2308" spans="1:2" x14ac:dyDescent="0.35">
      <c r="A2308" s="32"/>
      <c r="B2308" s="32"/>
    </row>
    <row r="2309" spans="1:2" x14ac:dyDescent="0.35">
      <c r="A2309" s="32"/>
      <c r="B2309" s="32"/>
    </row>
    <row r="2310" spans="1:2" x14ac:dyDescent="0.35">
      <c r="A2310" s="32"/>
      <c r="B2310" s="32"/>
    </row>
    <row r="2311" spans="1:2" x14ac:dyDescent="0.35">
      <c r="A2311" s="32"/>
      <c r="B2311" s="32"/>
    </row>
    <row r="2312" spans="1:2" x14ac:dyDescent="0.35">
      <c r="A2312" s="32"/>
      <c r="B2312" s="32"/>
    </row>
    <row r="2313" spans="1:2" x14ac:dyDescent="0.35">
      <c r="A2313" s="32"/>
      <c r="B2313" s="32"/>
    </row>
    <row r="2314" spans="1:2" x14ac:dyDescent="0.35">
      <c r="A2314" s="32"/>
      <c r="B2314" s="32"/>
    </row>
    <row r="2315" spans="1:2" x14ac:dyDescent="0.35">
      <c r="A2315" s="32"/>
      <c r="B2315" s="32"/>
    </row>
    <row r="2316" spans="1:2" x14ac:dyDescent="0.35">
      <c r="A2316" s="32"/>
      <c r="B2316" s="32"/>
    </row>
    <row r="2317" spans="1:2" x14ac:dyDescent="0.35">
      <c r="A2317" s="32"/>
      <c r="B2317" s="32"/>
    </row>
    <row r="2318" spans="1:2" x14ac:dyDescent="0.35">
      <c r="A2318" s="32"/>
      <c r="B2318" s="32"/>
    </row>
    <row r="2319" spans="1:2" x14ac:dyDescent="0.35">
      <c r="A2319" s="32"/>
      <c r="B2319" s="32"/>
    </row>
    <row r="2320" spans="1:2" x14ac:dyDescent="0.35">
      <c r="A2320" s="32"/>
      <c r="B2320" s="32"/>
    </row>
    <row r="2321" spans="1:2" x14ac:dyDescent="0.35">
      <c r="A2321" s="32"/>
      <c r="B2321" s="32"/>
    </row>
    <row r="2322" spans="1:2" x14ac:dyDescent="0.35">
      <c r="A2322" s="32"/>
      <c r="B2322" s="32"/>
    </row>
    <row r="2323" spans="1:2" x14ac:dyDescent="0.35">
      <c r="A2323" s="33"/>
      <c r="B2323" s="33"/>
    </row>
    <row r="2326" spans="1:2" x14ac:dyDescent="0.35">
      <c r="A2326" s="34" t="s">
        <v>1494</v>
      </c>
      <c r="B2326" s="34"/>
    </row>
    <row r="2327" spans="1:2" x14ac:dyDescent="0.35">
      <c r="A2327" s="35" t="s">
        <v>1</v>
      </c>
      <c r="B2327" s="35"/>
    </row>
    <row r="2328" spans="1:2" x14ac:dyDescent="0.35">
      <c r="A2328" s="36" t="s">
        <v>177</v>
      </c>
      <c r="B2328" s="36"/>
    </row>
    <row r="2329" spans="1:2" x14ac:dyDescent="0.35">
      <c r="A2329" s="32" t="s">
        <v>178</v>
      </c>
      <c r="B2329" s="32"/>
    </row>
    <row r="2330" spans="1:2" x14ac:dyDescent="0.35">
      <c r="A2330" s="32" t="s">
        <v>179</v>
      </c>
      <c r="B2330" s="32"/>
    </row>
    <row r="2331" spans="1:2" x14ac:dyDescent="0.35">
      <c r="A2331" s="32" t="s">
        <v>180</v>
      </c>
      <c r="B2331" s="32"/>
    </row>
    <row r="2332" spans="1:2" x14ac:dyDescent="0.35">
      <c r="A2332" s="32" t="s">
        <v>1495</v>
      </c>
      <c r="B2332" s="32"/>
    </row>
    <row r="2333" spans="1:2" x14ac:dyDescent="0.35">
      <c r="A2333" s="32" t="s">
        <v>1496</v>
      </c>
      <c r="B2333" s="32"/>
    </row>
    <row r="2334" spans="1:2" x14ac:dyDescent="0.35">
      <c r="A2334" s="32" t="s">
        <v>181</v>
      </c>
      <c r="B2334" s="32"/>
    </row>
    <row r="2335" spans="1:2" x14ac:dyDescent="0.35">
      <c r="A2335" s="32" t="s">
        <v>1497</v>
      </c>
      <c r="B2335" s="32"/>
    </row>
    <row r="2336" spans="1:2" x14ac:dyDescent="0.35">
      <c r="A2336" s="32" t="s">
        <v>1498</v>
      </c>
      <c r="B2336" s="32"/>
    </row>
    <row r="2337" spans="1:2" x14ac:dyDescent="0.35">
      <c r="A2337" s="32" t="s">
        <v>182</v>
      </c>
      <c r="B2337" s="32"/>
    </row>
    <row r="2338" spans="1:2" x14ac:dyDescent="0.35">
      <c r="A2338" s="32" t="s">
        <v>183</v>
      </c>
      <c r="B2338" s="32"/>
    </row>
    <row r="2339" spans="1:2" x14ac:dyDescent="0.35">
      <c r="A2339" s="32" t="s">
        <v>184</v>
      </c>
      <c r="B2339" s="32"/>
    </row>
    <row r="2340" spans="1:2" x14ac:dyDescent="0.35">
      <c r="A2340" s="32" t="s">
        <v>185</v>
      </c>
      <c r="B2340" s="32"/>
    </row>
    <row r="2341" spans="1:2" x14ac:dyDescent="0.35">
      <c r="A2341" s="32" t="s">
        <v>186</v>
      </c>
      <c r="B2341" s="32"/>
    </row>
    <row r="2342" spans="1:2" x14ac:dyDescent="0.35">
      <c r="A2342" s="32" t="s">
        <v>187</v>
      </c>
      <c r="B2342" s="32"/>
    </row>
    <row r="2343" spans="1:2" x14ac:dyDescent="0.35">
      <c r="A2343" s="32" t="s">
        <v>188</v>
      </c>
      <c r="B2343" s="32"/>
    </row>
    <row r="2344" spans="1:2" x14ac:dyDescent="0.35">
      <c r="A2344" s="32" t="s">
        <v>1499</v>
      </c>
      <c r="B2344" s="32"/>
    </row>
    <row r="2345" spans="1:2" x14ac:dyDescent="0.35">
      <c r="A2345" s="32" t="s">
        <v>1500</v>
      </c>
      <c r="B2345" s="32"/>
    </row>
    <row r="2346" spans="1:2" x14ac:dyDescent="0.35">
      <c r="A2346" s="32" t="s">
        <v>190</v>
      </c>
      <c r="B2346" s="32"/>
    </row>
    <row r="2347" spans="1:2" x14ac:dyDescent="0.35">
      <c r="A2347" s="32" t="s">
        <v>191</v>
      </c>
      <c r="B2347" s="32"/>
    </row>
    <row r="2348" spans="1:2" x14ac:dyDescent="0.35">
      <c r="A2348" s="32" t="s">
        <v>192</v>
      </c>
      <c r="B2348" s="32"/>
    </row>
    <row r="2349" spans="1:2" x14ac:dyDescent="0.35">
      <c r="A2349" s="32" t="s">
        <v>1501</v>
      </c>
      <c r="B2349" s="32"/>
    </row>
    <row r="2350" spans="1:2" x14ac:dyDescent="0.35">
      <c r="A2350" s="32" t="s">
        <v>193</v>
      </c>
      <c r="B2350" s="32"/>
    </row>
    <row r="2351" spans="1:2" x14ac:dyDescent="0.35">
      <c r="A2351" s="32" t="s">
        <v>194</v>
      </c>
      <c r="B2351" s="32"/>
    </row>
    <row r="2352" spans="1:2" x14ac:dyDescent="0.35">
      <c r="A2352" s="32" t="s">
        <v>195</v>
      </c>
      <c r="B2352" s="32"/>
    </row>
    <row r="2353" spans="1:2" x14ac:dyDescent="0.35">
      <c r="A2353" s="32" t="s">
        <v>196</v>
      </c>
      <c r="B2353" s="32"/>
    </row>
    <row r="2354" spans="1:2" x14ac:dyDescent="0.35">
      <c r="A2354" s="32" t="s">
        <v>197</v>
      </c>
      <c r="B2354" s="32"/>
    </row>
    <row r="2355" spans="1:2" x14ac:dyDescent="0.35">
      <c r="A2355" s="32" t="s">
        <v>198</v>
      </c>
      <c r="B2355" s="32"/>
    </row>
    <row r="2356" spans="1:2" x14ac:dyDescent="0.35">
      <c r="A2356" s="32" t="s">
        <v>1502</v>
      </c>
      <c r="B2356" s="32"/>
    </row>
    <row r="2357" spans="1:2" x14ac:dyDescent="0.35">
      <c r="A2357" s="32" t="s">
        <v>200</v>
      </c>
      <c r="B2357" s="32"/>
    </row>
    <row r="2358" spans="1:2" x14ac:dyDescent="0.35">
      <c r="A2358" s="32" t="s">
        <v>201</v>
      </c>
      <c r="B2358" s="32"/>
    </row>
    <row r="2359" spans="1:2" x14ac:dyDescent="0.35">
      <c r="A2359" s="32" t="s">
        <v>202</v>
      </c>
      <c r="B2359" s="32"/>
    </row>
    <row r="2360" spans="1:2" x14ac:dyDescent="0.35">
      <c r="A2360" s="32" t="s">
        <v>203</v>
      </c>
      <c r="B2360" s="32"/>
    </row>
    <row r="2361" spans="1:2" x14ac:dyDescent="0.35">
      <c r="A2361" s="32" t="s">
        <v>204</v>
      </c>
      <c r="B2361" s="32"/>
    </row>
    <row r="2362" spans="1:2" x14ac:dyDescent="0.35">
      <c r="A2362" s="32" t="s">
        <v>1503</v>
      </c>
      <c r="B2362" s="32"/>
    </row>
    <row r="2363" spans="1:2" x14ac:dyDescent="0.35">
      <c r="A2363" s="32" t="s">
        <v>1504</v>
      </c>
      <c r="B2363" s="32"/>
    </row>
    <row r="2364" spans="1:2" x14ac:dyDescent="0.35">
      <c r="A2364" s="32" t="s">
        <v>1505</v>
      </c>
      <c r="B2364" s="32"/>
    </row>
    <row r="2365" spans="1:2" x14ac:dyDescent="0.35">
      <c r="A2365" s="32" t="s">
        <v>1506</v>
      </c>
      <c r="B2365" s="32"/>
    </row>
    <row r="2366" spans="1:2" x14ac:dyDescent="0.35">
      <c r="A2366" s="32" t="s">
        <v>1507</v>
      </c>
      <c r="B2366" s="32"/>
    </row>
    <row r="2367" spans="1:2" x14ac:dyDescent="0.35">
      <c r="A2367" s="32" t="s">
        <v>1508</v>
      </c>
      <c r="B2367" s="32"/>
    </row>
    <row r="2368" spans="1:2" x14ac:dyDescent="0.35">
      <c r="A2368" s="32" t="s">
        <v>207</v>
      </c>
      <c r="B2368" s="32"/>
    </row>
    <row r="2369" spans="1:2" x14ac:dyDescent="0.35">
      <c r="A2369" s="32" t="s">
        <v>208</v>
      </c>
      <c r="B2369" s="32"/>
    </row>
    <row r="2370" spans="1:2" x14ac:dyDescent="0.35">
      <c r="A2370" s="32" t="s">
        <v>209</v>
      </c>
      <c r="B2370" s="32"/>
    </row>
    <row r="2371" spans="1:2" x14ac:dyDescent="0.35">
      <c r="A2371" s="32" t="s">
        <v>1509</v>
      </c>
      <c r="B2371" s="32"/>
    </row>
    <row r="2372" spans="1:2" x14ac:dyDescent="0.35">
      <c r="A2372" s="32" t="s">
        <v>1510</v>
      </c>
      <c r="B2372" s="32"/>
    </row>
    <row r="2373" spans="1:2" x14ac:dyDescent="0.35">
      <c r="A2373" s="32" t="s">
        <v>210</v>
      </c>
      <c r="B2373" s="32"/>
    </row>
    <row r="2374" spans="1:2" x14ac:dyDescent="0.35">
      <c r="A2374" s="32" t="s">
        <v>1511</v>
      </c>
      <c r="B2374" s="32"/>
    </row>
    <row r="2375" spans="1:2" x14ac:dyDescent="0.35">
      <c r="A2375" s="32" t="s">
        <v>211</v>
      </c>
      <c r="B2375" s="32"/>
    </row>
    <row r="2376" spans="1:2" x14ac:dyDescent="0.35">
      <c r="A2376" s="32" t="s">
        <v>212</v>
      </c>
      <c r="B2376" s="32"/>
    </row>
    <row r="2377" spans="1:2" x14ac:dyDescent="0.35">
      <c r="A2377" s="32" t="s">
        <v>213</v>
      </c>
      <c r="B2377" s="32"/>
    </row>
    <row r="2378" spans="1:2" x14ac:dyDescent="0.35">
      <c r="A2378" s="32" t="s">
        <v>214</v>
      </c>
      <c r="B2378" s="32"/>
    </row>
    <row r="2379" spans="1:2" x14ac:dyDescent="0.35">
      <c r="A2379" s="32" t="s">
        <v>215</v>
      </c>
      <c r="B2379" s="32"/>
    </row>
    <row r="2380" spans="1:2" x14ac:dyDescent="0.35">
      <c r="A2380" s="32" t="s">
        <v>216</v>
      </c>
      <c r="B2380" s="32"/>
    </row>
    <row r="2381" spans="1:2" x14ac:dyDescent="0.35">
      <c r="A2381" s="32" t="s">
        <v>217</v>
      </c>
      <c r="B2381" s="32"/>
    </row>
    <row r="2382" spans="1:2" x14ac:dyDescent="0.35">
      <c r="A2382" s="32" t="s">
        <v>218</v>
      </c>
      <c r="B2382" s="32"/>
    </row>
    <row r="2383" spans="1:2" x14ac:dyDescent="0.35">
      <c r="A2383" s="32" t="s">
        <v>1512</v>
      </c>
      <c r="B2383" s="32"/>
    </row>
    <row r="2384" spans="1:2" x14ac:dyDescent="0.35">
      <c r="A2384" s="32" t="s">
        <v>1513</v>
      </c>
      <c r="B2384" s="32"/>
    </row>
    <row r="2385" spans="1:2" x14ac:dyDescent="0.35">
      <c r="A2385" s="32" t="s">
        <v>1514</v>
      </c>
      <c r="B2385" s="32"/>
    </row>
    <row r="2386" spans="1:2" x14ac:dyDescent="0.35">
      <c r="A2386" s="32" t="s">
        <v>1515</v>
      </c>
      <c r="B2386" s="32"/>
    </row>
    <row r="2387" spans="1:2" x14ac:dyDescent="0.35">
      <c r="A2387" s="32" t="s">
        <v>220</v>
      </c>
      <c r="B2387" s="32"/>
    </row>
    <row r="2388" spans="1:2" x14ac:dyDescent="0.35">
      <c r="A2388" s="32" t="s">
        <v>221</v>
      </c>
      <c r="B2388" s="32"/>
    </row>
    <row r="2389" spans="1:2" x14ac:dyDescent="0.35">
      <c r="A2389" s="32" t="s">
        <v>222</v>
      </c>
      <c r="B2389" s="32"/>
    </row>
    <row r="2390" spans="1:2" x14ac:dyDescent="0.35">
      <c r="A2390" s="32" t="s">
        <v>1516</v>
      </c>
      <c r="B2390" s="32"/>
    </row>
    <row r="2391" spans="1:2" x14ac:dyDescent="0.35">
      <c r="A2391" s="32" t="s">
        <v>1517</v>
      </c>
      <c r="B2391" s="32"/>
    </row>
    <row r="2392" spans="1:2" x14ac:dyDescent="0.35">
      <c r="A2392" s="32" t="s">
        <v>1518</v>
      </c>
      <c r="B2392" s="32"/>
    </row>
    <row r="2393" spans="1:2" x14ac:dyDescent="0.35">
      <c r="A2393" s="32" t="s">
        <v>224</v>
      </c>
      <c r="B2393" s="32"/>
    </row>
    <row r="2394" spans="1:2" x14ac:dyDescent="0.35">
      <c r="A2394" s="32" t="s">
        <v>225</v>
      </c>
      <c r="B2394" s="32"/>
    </row>
    <row r="2395" spans="1:2" x14ac:dyDescent="0.35">
      <c r="A2395" s="32" t="s">
        <v>226</v>
      </c>
      <c r="B2395" s="32"/>
    </row>
    <row r="2396" spans="1:2" x14ac:dyDescent="0.35">
      <c r="A2396" s="32" t="s">
        <v>227</v>
      </c>
      <c r="B2396" s="32"/>
    </row>
    <row r="2397" spans="1:2" x14ac:dyDescent="0.35">
      <c r="A2397" s="32" t="s">
        <v>1519</v>
      </c>
      <c r="B2397" s="32"/>
    </row>
    <row r="2398" spans="1:2" x14ac:dyDescent="0.35">
      <c r="A2398" s="32" t="s">
        <v>229</v>
      </c>
      <c r="B2398" s="32"/>
    </row>
    <row r="2399" spans="1:2" x14ac:dyDescent="0.35">
      <c r="A2399" s="32" t="s">
        <v>230</v>
      </c>
      <c r="B2399" s="32"/>
    </row>
    <row r="2400" spans="1:2" x14ac:dyDescent="0.35">
      <c r="A2400" s="32" t="s">
        <v>1520</v>
      </c>
      <c r="B2400" s="32"/>
    </row>
    <row r="2401" spans="1:2" x14ac:dyDescent="0.35">
      <c r="A2401" s="32" t="s">
        <v>1521</v>
      </c>
      <c r="B2401" s="32"/>
    </row>
    <row r="2402" spans="1:2" x14ac:dyDescent="0.35">
      <c r="A2402" s="32" t="s">
        <v>233</v>
      </c>
      <c r="B2402" s="32"/>
    </row>
    <row r="2403" spans="1:2" x14ac:dyDescent="0.35">
      <c r="A2403" s="32" t="s">
        <v>234</v>
      </c>
      <c r="B2403" s="32"/>
    </row>
    <row r="2404" spans="1:2" x14ac:dyDescent="0.35">
      <c r="A2404" s="32" t="s">
        <v>1522</v>
      </c>
      <c r="B2404" s="32"/>
    </row>
    <row r="2405" spans="1:2" x14ac:dyDescent="0.35">
      <c r="A2405" s="32" t="s">
        <v>1523</v>
      </c>
      <c r="B2405" s="32"/>
    </row>
    <row r="2406" spans="1:2" x14ac:dyDescent="0.35">
      <c r="A2406" s="32" t="s">
        <v>236</v>
      </c>
      <c r="B2406" s="32"/>
    </row>
    <row r="2407" spans="1:2" x14ac:dyDescent="0.35">
      <c r="A2407" s="32" t="s">
        <v>1524</v>
      </c>
      <c r="B2407" s="32"/>
    </row>
    <row r="2408" spans="1:2" x14ac:dyDescent="0.35">
      <c r="A2408" s="32" t="s">
        <v>237</v>
      </c>
      <c r="B2408" s="32"/>
    </row>
    <row r="2409" spans="1:2" x14ac:dyDescent="0.35">
      <c r="A2409" s="32" t="s">
        <v>238</v>
      </c>
      <c r="B2409" s="32"/>
    </row>
    <row r="2410" spans="1:2" x14ac:dyDescent="0.35">
      <c r="A2410" s="32" t="s">
        <v>239</v>
      </c>
      <c r="B2410" s="32"/>
    </row>
    <row r="2411" spans="1:2" x14ac:dyDescent="0.35">
      <c r="A2411" s="32" t="s">
        <v>1525</v>
      </c>
      <c r="B2411" s="32"/>
    </row>
    <row r="2412" spans="1:2" x14ac:dyDescent="0.35">
      <c r="A2412" s="32" t="s">
        <v>240</v>
      </c>
      <c r="B2412" s="32"/>
    </row>
    <row r="2413" spans="1:2" x14ac:dyDescent="0.35">
      <c r="A2413" s="32" t="s">
        <v>241</v>
      </c>
      <c r="B2413" s="32"/>
    </row>
    <row r="2414" spans="1:2" x14ac:dyDescent="0.35">
      <c r="A2414" s="32" t="s">
        <v>242</v>
      </c>
      <c r="B2414" s="32"/>
    </row>
    <row r="2415" spans="1:2" x14ac:dyDescent="0.35">
      <c r="A2415" s="32" t="s">
        <v>243</v>
      </c>
      <c r="B2415" s="32"/>
    </row>
    <row r="2416" spans="1:2" x14ac:dyDescent="0.35">
      <c r="A2416" s="32" t="s">
        <v>1526</v>
      </c>
      <c r="B2416" s="32"/>
    </row>
    <row r="2417" spans="1:2" x14ac:dyDescent="0.35">
      <c r="A2417" s="32" t="s">
        <v>1527</v>
      </c>
      <c r="B2417" s="32"/>
    </row>
    <row r="2418" spans="1:2" x14ac:dyDescent="0.35">
      <c r="A2418" s="32" t="s">
        <v>1528</v>
      </c>
      <c r="B2418" s="32"/>
    </row>
    <row r="2419" spans="1:2" x14ac:dyDescent="0.35">
      <c r="A2419" s="32" t="s">
        <v>1529</v>
      </c>
      <c r="B2419" s="32"/>
    </row>
    <row r="2420" spans="1:2" x14ac:dyDescent="0.35">
      <c r="A2420" s="32" t="s">
        <v>1530</v>
      </c>
      <c r="B2420" s="32"/>
    </row>
    <row r="2421" spans="1:2" x14ac:dyDescent="0.35">
      <c r="A2421" s="32" t="s">
        <v>244</v>
      </c>
      <c r="B2421" s="32"/>
    </row>
    <row r="2422" spans="1:2" x14ac:dyDescent="0.35">
      <c r="A2422" s="32" t="s">
        <v>245</v>
      </c>
      <c r="B2422" s="32"/>
    </row>
    <row r="2423" spans="1:2" x14ac:dyDescent="0.35">
      <c r="A2423" s="32" t="s">
        <v>246</v>
      </c>
      <c r="B2423" s="32"/>
    </row>
    <row r="2424" spans="1:2" x14ac:dyDescent="0.35">
      <c r="A2424" s="32" t="s">
        <v>1531</v>
      </c>
      <c r="B2424" s="32"/>
    </row>
    <row r="2425" spans="1:2" x14ac:dyDescent="0.35">
      <c r="A2425" s="32" t="s">
        <v>1532</v>
      </c>
      <c r="B2425" s="32"/>
    </row>
    <row r="2426" spans="1:2" x14ac:dyDescent="0.35">
      <c r="A2426" s="32" t="s">
        <v>1533</v>
      </c>
      <c r="B2426" s="32"/>
    </row>
    <row r="2427" spans="1:2" x14ac:dyDescent="0.35">
      <c r="A2427" s="32" t="s">
        <v>247</v>
      </c>
      <c r="B2427" s="32"/>
    </row>
    <row r="2428" spans="1:2" x14ac:dyDescent="0.35">
      <c r="A2428" s="32" t="s">
        <v>1534</v>
      </c>
      <c r="B2428" s="32"/>
    </row>
    <row r="2429" spans="1:2" x14ac:dyDescent="0.35">
      <c r="A2429" s="32" t="s">
        <v>248</v>
      </c>
      <c r="B2429" s="32"/>
    </row>
    <row r="2430" spans="1:2" x14ac:dyDescent="0.35">
      <c r="A2430" s="32" t="s">
        <v>249</v>
      </c>
      <c r="B2430" s="32"/>
    </row>
    <row r="2431" spans="1:2" x14ac:dyDescent="0.35">
      <c r="A2431" s="32" t="s">
        <v>1535</v>
      </c>
      <c r="B2431" s="32"/>
    </row>
    <row r="2432" spans="1:2" x14ac:dyDescent="0.35">
      <c r="A2432" s="32" t="s">
        <v>1536</v>
      </c>
      <c r="B2432" s="32"/>
    </row>
    <row r="2433" spans="1:2" x14ac:dyDescent="0.35">
      <c r="A2433" s="32" t="s">
        <v>251</v>
      </c>
      <c r="B2433" s="32"/>
    </row>
    <row r="2434" spans="1:2" x14ac:dyDescent="0.35">
      <c r="A2434" s="32" t="s">
        <v>252</v>
      </c>
      <c r="B2434" s="32"/>
    </row>
    <row r="2435" spans="1:2" x14ac:dyDescent="0.35">
      <c r="A2435" s="32" t="s">
        <v>253</v>
      </c>
      <c r="B2435" s="32"/>
    </row>
    <row r="2436" spans="1:2" x14ac:dyDescent="0.35">
      <c r="A2436" s="32" t="s">
        <v>254</v>
      </c>
      <c r="B2436" s="32"/>
    </row>
    <row r="2437" spans="1:2" x14ac:dyDescent="0.35">
      <c r="A2437" s="32" t="s">
        <v>255</v>
      </c>
      <c r="B2437" s="32"/>
    </row>
    <row r="2438" spans="1:2" x14ac:dyDescent="0.35">
      <c r="A2438" s="32" t="s">
        <v>1537</v>
      </c>
      <c r="B2438" s="32"/>
    </row>
    <row r="2439" spans="1:2" x14ac:dyDescent="0.35">
      <c r="A2439" s="32" t="s">
        <v>1538</v>
      </c>
      <c r="B2439" s="32"/>
    </row>
    <row r="2440" spans="1:2" x14ac:dyDescent="0.35">
      <c r="A2440" s="32" t="s">
        <v>256</v>
      </c>
      <c r="B2440" s="32"/>
    </row>
    <row r="2441" spans="1:2" x14ac:dyDescent="0.35">
      <c r="A2441" s="32" t="s">
        <v>257</v>
      </c>
      <c r="B2441" s="32"/>
    </row>
    <row r="2442" spans="1:2" x14ac:dyDescent="0.35">
      <c r="A2442" s="32" t="s">
        <v>1539</v>
      </c>
      <c r="B2442" s="32"/>
    </row>
    <row r="2443" spans="1:2" x14ac:dyDescent="0.35">
      <c r="A2443" s="32" t="s">
        <v>258</v>
      </c>
      <c r="B2443" s="32"/>
    </row>
    <row r="2444" spans="1:2" x14ac:dyDescent="0.35">
      <c r="A2444" s="32" t="s">
        <v>259</v>
      </c>
      <c r="B2444" s="32"/>
    </row>
    <row r="2445" spans="1:2" x14ac:dyDescent="0.35">
      <c r="A2445" s="32" t="s">
        <v>260</v>
      </c>
      <c r="B2445" s="32"/>
    </row>
    <row r="2446" spans="1:2" x14ac:dyDescent="0.35">
      <c r="A2446" s="32" t="s">
        <v>1540</v>
      </c>
      <c r="B2446" s="32"/>
    </row>
    <row r="2447" spans="1:2" x14ac:dyDescent="0.35">
      <c r="A2447" s="32" t="s">
        <v>261</v>
      </c>
      <c r="B2447" s="32"/>
    </row>
    <row r="2448" spans="1:2" x14ac:dyDescent="0.35">
      <c r="A2448" s="32" t="s">
        <v>1541</v>
      </c>
      <c r="B2448" s="32"/>
    </row>
    <row r="2449" spans="1:2" x14ac:dyDescent="0.35">
      <c r="A2449" s="32" t="s">
        <v>1542</v>
      </c>
      <c r="B2449" s="32"/>
    </row>
    <row r="2450" spans="1:2" x14ac:dyDescent="0.35">
      <c r="A2450" s="32" t="s">
        <v>1543</v>
      </c>
      <c r="B2450" s="32"/>
    </row>
    <row r="2451" spans="1:2" x14ac:dyDescent="0.35">
      <c r="A2451" s="32" t="s">
        <v>1544</v>
      </c>
      <c r="B2451" s="32"/>
    </row>
    <row r="2452" spans="1:2" x14ac:dyDescent="0.35">
      <c r="A2452" s="32" t="s">
        <v>1545</v>
      </c>
      <c r="B2452" s="32"/>
    </row>
    <row r="2453" spans="1:2" x14ac:dyDescent="0.35">
      <c r="A2453" s="32" t="s">
        <v>1546</v>
      </c>
      <c r="B2453" s="32"/>
    </row>
    <row r="2454" spans="1:2" x14ac:dyDescent="0.35">
      <c r="A2454" s="32" t="s">
        <v>1547</v>
      </c>
      <c r="B2454" s="32"/>
    </row>
    <row r="2455" spans="1:2" x14ac:dyDescent="0.35">
      <c r="A2455" s="32" t="s">
        <v>1548</v>
      </c>
      <c r="B2455" s="32"/>
    </row>
    <row r="2456" spans="1:2" x14ac:dyDescent="0.35">
      <c r="A2456" s="32" t="s">
        <v>1549</v>
      </c>
      <c r="B2456" s="32"/>
    </row>
    <row r="2457" spans="1:2" x14ac:dyDescent="0.35">
      <c r="A2457" s="32" t="s">
        <v>1550</v>
      </c>
      <c r="B2457" s="32"/>
    </row>
    <row r="2458" spans="1:2" x14ac:dyDescent="0.35">
      <c r="A2458" s="32" t="s">
        <v>1551</v>
      </c>
      <c r="B2458" s="32"/>
    </row>
    <row r="2459" spans="1:2" x14ac:dyDescent="0.35">
      <c r="A2459" s="32" t="s">
        <v>1552</v>
      </c>
      <c r="B2459" s="32"/>
    </row>
    <row r="2460" spans="1:2" x14ac:dyDescent="0.35">
      <c r="A2460" s="32" t="s">
        <v>1553</v>
      </c>
      <c r="B2460" s="32"/>
    </row>
    <row r="2461" spans="1:2" x14ac:dyDescent="0.35">
      <c r="A2461" s="32" t="s">
        <v>1554</v>
      </c>
      <c r="B2461" s="32"/>
    </row>
    <row r="2462" spans="1:2" x14ac:dyDescent="0.35">
      <c r="A2462" s="32" t="s">
        <v>263</v>
      </c>
      <c r="B2462" s="32"/>
    </row>
    <row r="2463" spans="1:2" x14ac:dyDescent="0.35">
      <c r="A2463" s="32" t="s">
        <v>264</v>
      </c>
      <c r="B2463" s="32"/>
    </row>
    <row r="2464" spans="1:2" x14ac:dyDescent="0.35">
      <c r="A2464" s="32" t="s">
        <v>1555</v>
      </c>
      <c r="B2464" s="32"/>
    </row>
    <row r="2465" spans="1:2" x14ac:dyDescent="0.35">
      <c r="A2465" s="32" t="s">
        <v>1556</v>
      </c>
      <c r="B2465" s="32"/>
    </row>
    <row r="2466" spans="1:2" x14ac:dyDescent="0.35">
      <c r="A2466" s="32" t="s">
        <v>1557</v>
      </c>
      <c r="B2466" s="32"/>
    </row>
    <row r="2467" spans="1:2" x14ac:dyDescent="0.35">
      <c r="A2467" s="32" t="s">
        <v>1558</v>
      </c>
      <c r="B2467" s="32"/>
    </row>
    <row r="2468" spans="1:2" x14ac:dyDescent="0.35">
      <c r="A2468" s="32" t="s">
        <v>1559</v>
      </c>
      <c r="B2468" s="32"/>
    </row>
    <row r="2469" spans="1:2" x14ac:dyDescent="0.35">
      <c r="A2469" s="32" t="s">
        <v>1560</v>
      </c>
      <c r="B2469" s="32"/>
    </row>
    <row r="2470" spans="1:2" x14ac:dyDescent="0.35">
      <c r="A2470" s="32" t="s">
        <v>266</v>
      </c>
      <c r="B2470" s="32"/>
    </row>
    <row r="2471" spans="1:2" x14ac:dyDescent="0.35">
      <c r="A2471" s="32" t="s">
        <v>267</v>
      </c>
      <c r="B2471" s="32"/>
    </row>
    <row r="2472" spans="1:2" x14ac:dyDescent="0.35">
      <c r="A2472" s="32" t="s">
        <v>268</v>
      </c>
      <c r="B2472" s="32"/>
    </row>
    <row r="2473" spans="1:2" x14ac:dyDescent="0.35">
      <c r="A2473" s="32" t="s">
        <v>269</v>
      </c>
      <c r="B2473" s="32"/>
    </row>
    <row r="2474" spans="1:2" x14ac:dyDescent="0.35">
      <c r="A2474" s="32" t="s">
        <v>1561</v>
      </c>
      <c r="B2474" s="32"/>
    </row>
    <row r="2475" spans="1:2" x14ac:dyDescent="0.35">
      <c r="A2475" s="32" t="s">
        <v>1562</v>
      </c>
      <c r="B2475" s="32"/>
    </row>
    <row r="2476" spans="1:2" x14ac:dyDescent="0.35">
      <c r="A2476" s="32" t="s">
        <v>271</v>
      </c>
      <c r="B2476" s="32"/>
    </row>
    <row r="2477" spans="1:2" x14ac:dyDescent="0.35">
      <c r="A2477" s="32" t="s">
        <v>1563</v>
      </c>
      <c r="B2477" s="32"/>
    </row>
    <row r="2478" spans="1:2" x14ac:dyDescent="0.35">
      <c r="A2478" s="32" t="s">
        <v>1564</v>
      </c>
      <c r="B2478" s="32"/>
    </row>
    <row r="2479" spans="1:2" x14ac:dyDescent="0.35">
      <c r="A2479" s="32" t="s">
        <v>1565</v>
      </c>
      <c r="B2479" s="32"/>
    </row>
    <row r="2480" spans="1:2" x14ac:dyDescent="0.35">
      <c r="A2480" s="32" t="s">
        <v>1566</v>
      </c>
      <c r="B2480" s="32"/>
    </row>
    <row r="2481" spans="1:2" x14ac:dyDescent="0.35">
      <c r="A2481" s="32" t="s">
        <v>1567</v>
      </c>
      <c r="B2481" s="32"/>
    </row>
    <row r="2482" spans="1:2" x14ac:dyDescent="0.35">
      <c r="A2482" s="32" t="s">
        <v>1568</v>
      </c>
      <c r="B2482" s="32"/>
    </row>
    <row r="2483" spans="1:2" x14ac:dyDescent="0.35">
      <c r="A2483" s="32" t="s">
        <v>272</v>
      </c>
      <c r="B2483" s="32"/>
    </row>
    <row r="2484" spans="1:2" x14ac:dyDescent="0.35">
      <c r="A2484" s="32" t="s">
        <v>1569</v>
      </c>
      <c r="B2484" s="32"/>
    </row>
    <row r="2485" spans="1:2" x14ac:dyDescent="0.35">
      <c r="A2485" s="32" t="s">
        <v>1570</v>
      </c>
      <c r="B2485" s="32"/>
    </row>
    <row r="2486" spans="1:2" x14ac:dyDescent="0.35">
      <c r="A2486" s="32" t="s">
        <v>1571</v>
      </c>
      <c r="B2486" s="32"/>
    </row>
    <row r="2487" spans="1:2" x14ac:dyDescent="0.35">
      <c r="A2487" s="32" t="s">
        <v>274</v>
      </c>
      <c r="B2487" s="32"/>
    </row>
    <row r="2488" spans="1:2" x14ac:dyDescent="0.35">
      <c r="A2488" s="32" t="s">
        <v>275</v>
      </c>
      <c r="B2488" s="32"/>
    </row>
    <row r="2489" spans="1:2" x14ac:dyDescent="0.35">
      <c r="A2489" s="32" t="s">
        <v>276</v>
      </c>
      <c r="B2489" s="32"/>
    </row>
    <row r="2490" spans="1:2" x14ac:dyDescent="0.35">
      <c r="A2490" s="32" t="s">
        <v>277</v>
      </c>
      <c r="B2490" s="32"/>
    </row>
    <row r="2491" spans="1:2" x14ac:dyDescent="0.35">
      <c r="A2491" s="32" t="s">
        <v>1572</v>
      </c>
      <c r="B2491" s="32"/>
    </row>
    <row r="2492" spans="1:2" x14ac:dyDescent="0.35">
      <c r="A2492" s="32" t="s">
        <v>279</v>
      </c>
      <c r="B2492" s="32"/>
    </row>
    <row r="2493" spans="1:2" x14ac:dyDescent="0.35">
      <c r="A2493" s="32" t="s">
        <v>280</v>
      </c>
      <c r="B2493" s="32"/>
    </row>
    <row r="2494" spans="1:2" x14ac:dyDescent="0.35">
      <c r="A2494" s="32" t="s">
        <v>281</v>
      </c>
      <c r="B2494" s="32"/>
    </row>
    <row r="2495" spans="1:2" x14ac:dyDescent="0.35">
      <c r="A2495" s="32" t="s">
        <v>282</v>
      </c>
      <c r="B2495" s="32"/>
    </row>
    <row r="2496" spans="1:2" x14ac:dyDescent="0.35">
      <c r="A2496" s="32" t="s">
        <v>283</v>
      </c>
      <c r="B2496" s="32"/>
    </row>
    <row r="2497" spans="1:2" x14ac:dyDescent="0.35">
      <c r="A2497" s="32" t="s">
        <v>284</v>
      </c>
      <c r="B2497" s="32"/>
    </row>
    <row r="2498" spans="1:2" x14ac:dyDescent="0.35">
      <c r="A2498" s="32" t="s">
        <v>285</v>
      </c>
      <c r="B2498" s="32"/>
    </row>
    <row r="2499" spans="1:2" x14ac:dyDescent="0.35">
      <c r="A2499" s="32" t="s">
        <v>1573</v>
      </c>
      <c r="B2499" s="32"/>
    </row>
    <row r="2500" spans="1:2" x14ac:dyDescent="0.35">
      <c r="A2500" s="32" t="s">
        <v>286</v>
      </c>
      <c r="B2500" s="32"/>
    </row>
    <row r="2501" spans="1:2" x14ac:dyDescent="0.35">
      <c r="A2501" s="32" t="s">
        <v>287</v>
      </c>
      <c r="B2501" s="32"/>
    </row>
    <row r="2502" spans="1:2" x14ac:dyDescent="0.35">
      <c r="A2502" s="32" t="s">
        <v>1574</v>
      </c>
      <c r="B2502" s="32"/>
    </row>
    <row r="2503" spans="1:2" x14ac:dyDescent="0.35">
      <c r="A2503" s="32" t="s">
        <v>1575</v>
      </c>
      <c r="B2503" s="32"/>
    </row>
    <row r="2504" spans="1:2" x14ac:dyDescent="0.35">
      <c r="A2504" s="32" t="s">
        <v>1576</v>
      </c>
      <c r="B2504" s="32"/>
    </row>
    <row r="2505" spans="1:2" x14ac:dyDescent="0.35">
      <c r="A2505" s="32" t="s">
        <v>1577</v>
      </c>
      <c r="B2505" s="32"/>
    </row>
    <row r="2506" spans="1:2" x14ac:dyDescent="0.35">
      <c r="A2506" s="32" t="s">
        <v>1578</v>
      </c>
      <c r="B2506" s="32"/>
    </row>
    <row r="2507" spans="1:2" x14ac:dyDescent="0.35">
      <c r="A2507" s="32" t="s">
        <v>1579</v>
      </c>
      <c r="B2507" s="32"/>
    </row>
    <row r="2508" spans="1:2" x14ac:dyDescent="0.35">
      <c r="A2508" s="32" t="s">
        <v>1580</v>
      </c>
      <c r="B2508" s="32"/>
    </row>
    <row r="2509" spans="1:2" x14ac:dyDescent="0.35">
      <c r="A2509" s="32" t="s">
        <v>289</v>
      </c>
      <c r="B2509" s="32"/>
    </row>
    <row r="2510" spans="1:2" x14ac:dyDescent="0.35">
      <c r="A2510" s="32" t="s">
        <v>290</v>
      </c>
      <c r="B2510" s="32"/>
    </row>
    <row r="2511" spans="1:2" x14ac:dyDescent="0.35">
      <c r="A2511" s="32" t="s">
        <v>291</v>
      </c>
      <c r="B2511" s="32"/>
    </row>
    <row r="2512" spans="1:2" x14ac:dyDescent="0.35">
      <c r="A2512" s="32" t="s">
        <v>292</v>
      </c>
      <c r="B2512" s="32"/>
    </row>
    <row r="2513" spans="1:2" x14ac:dyDescent="0.35">
      <c r="A2513" s="32" t="s">
        <v>293</v>
      </c>
      <c r="B2513" s="32"/>
    </row>
    <row r="2514" spans="1:2" x14ac:dyDescent="0.35">
      <c r="A2514" s="32" t="s">
        <v>294</v>
      </c>
      <c r="B2514" s="32"/>
    </row>
    <row r="2515" spans="1:2" x14ac:dyDescent="0.35">
      <c r="A2515" s="32" t="s">
        <v>295</v>
      </c>
      <c r="B2515" s="32"/>
    </row>
    <row r="2516" spans="1:2" x14ac:dyDescent="0.35">
      <c r="A2516" s="32" t="s">
        <v>1581</v>
      </c>
      <c r="B2516" s="32"/>
    </row>
    <row r="2517" spans="1:2" x14ac:dyDescent="0.35">
      <c r="A2517" s="32" t="s">
        <v>1582</v>
      </c>
      <c r="B2517" s="32"/>
    </row>
    <row r="2518" spans="1:2" x14ac:dyDescent="0.35">
      <c r="A2518" s="32" t="s">
        <v>1583</v>
      </c>
      <c r="B2518" s="32"/>
    </row>
    <row r="2519" spans="1:2" x14ac:dyDescent="0.35">
      <c r="A2519" s="32" t="s">
        <v>1584</v>
      </c>
      <c r="B2519" s="32"/>
    </row>
    <row r="2520" spans="1:2" x14ac:dyDescent="0.35">
      <c r="A2520" s="32" t="s">
        <v>1585</v>
      </c>
      <c r="B2520" s="32"/>
    </row>
    <row r="2521" spans="1:2" x14ac:dyDescent="0.35">
      <c r="A2521" s="32" t="s">
        <v>1586</v>
      </c>
      <c r="B2521" s="32"/>
    </row>
    <row r="2522" spans="1:2" x14ac:dyDescent="0.35">
      <c r="A2522" s="32" t="s">
        <v>1587</v>
      </c>
      <c r="B2522" s="32"/>
    </row>
    <row r="2523" spans="1:2" x14ac:dyDescent="0.35">
      <c r="A2523" s="32" t="s">
        <v>1588</v>
      </c>
      <c r="B2523" s="32"/>
    </row>
    <row r="2524" spans="1:2" x14ac:dyDescent="0.35">
      <c r="A2524" s="32" t="s">
        <v>1589</v>
      </c>
      <c r="B2524" s="32"/>
    </row>
    <row r="2525" spans="1:2" x14ac:dyDescent="0.35">
      <c r="A2525" s="32" t="s">
        <v>296</v>
      </c>
      <c r="B2525" s="32"/>
    </row>
    <row r="2526" spans="1:2" x14ac:dyDescent="0.35">
      <c r="A2526" s="32" t="s">
        <v>297</v>
      </c>
      <c r="B2526" s="32"/>
    </row>
    <row r="2527" spans="1:2" x14ac:dyDescent="0.35">
      <c r="A2527" s="32" t="s">
        <v>1590</v>
      </c>
      <c r="B2527" s="32"/>
    </row>
    <row r="2528" spans="1:2" x14ac:dyDescent="0.35">
      <c r="A2528" s="32" t="s">
        <v>1591</v>
      </c>
      <c r="B2528" s="32"/>
    </row>
    <row r="2529" spans="1:2" x14ac:dyDescent="0.35">
      <c r="A2529" s="32" t="s">
        <v>299</v>
      </c>
      <c r="B2529" s="32"/>
    </row>
    <row r="2530" spans="1:2" x14ac:dyDescent="0.35">
      <c r="A2530" s="32" t="s">
        <v>300</v>
      </c>
      <c r="B2530" s="32"/>
    </row>
    <row r="2531" spans="1:2" x14ac:dyDescent="0.35">
      <c r="A2531" s="32" t="s">
        <v>1592</v>
      </c>
      <c r="B2531" s="32"/>
    </row>
    <row r="2532" spans="1:2" x14ac:dyDescent="0.35">
      <c r="A2532" s="32" t="s">
        <v>1593</v>
      </c>
      <c r="B2532" s="32"/>
    </row>
    <row r="2533" spans="1:2" x14ac:dyDescent="0.35">
      <c r="A2533" s="32" t="s">
        <v>301</v>
      </c>
      <c r="B2533" s="32"/>
    </row>
    <row r="2534" spans="1:2" x14ac:dyDescent="0.35">
      <c r="A2534" s="32" t="s">
        <v>302</v>
      </c>
      <c r="B2534" s="32"/>
    </row>
    <row r="2535" spans="1:2" x14ac:dyDescent="0.35">
      <c r="A2535" s="32" t="s">
        <v>303</v>
      </c>
      <c r="B2535" s="32"/>
    </row>
    <row r="2536" spans="1:2" x14ac:dyDescent="0.35">
      <c r="A2536" s="32" t="s">
        <v>1594</v>
      </c>
      <c r="B2536" s="32"/>
    </row>
    <row r="2537" spans="1:2" x14ac:dyDescent="0.35">
      <c r="A2537" s="32" t="s">
        <v>1595</v>
      </c>
      <c r="B2537" s="32"/>
    </row>
    <row r="2538" spans="1:2" x14ac:dyDescent="0.35">
      <c r="A2538" s="32" t="s">
        <v>305</v>
      </c>
      <c r="B2538" s="32"/>
    </row>
    <row r="2539" spans="1:2" x14ac:dyDescent="0.35">
      <c r="A2539" s="32" t="s">
        <v>306</v>
      </c>
      <c r="B2539" s="32"/>
    </row>
    <row r="2540" spans="1:2" x14ac:dyDescent="0.35">
      <c r="A2540" s="32" t="s">
        <v>1596</v>
      </c>
      <c r="B2540" s="32"/>
    </row>
    <row r="2541" spans="1:2" x14ac:dyDescent="0.35">
      <c r="A2541" s="32" t="s">
        <v>1597</v>
      </c>
      <c r="B2541" s="32"/>
    </row>
    <row r="2542" spans="1:2" x14ac:dyDescent="0.35">
      <c r="A2542" s="32" t="s">
        <v>308</v>
      </c>
      <c r="B2542" s="32"/>
    </row>
    <row r="2543" spans="1:2" x14ac:dyDescent="0.35">
      <c r="A2543" s="32" t="s">
        <v>1598</v>
      </c>
      <c r="B2543" s="32"/>
    </row>
    <row r="2544" spans="1:2" x14ac:dyDescent="0.35">
      <c r="A2544" s="32" t="s">
        <v>309</v>
      </c>
      <c r="B2544" s="32"/>
    </row>
    <row r="2545" spans="1:2" x14ac:dyDescent="0.35">
      <c r="A2545" s="32" t="s">
        <v>310</v>
      </c>
      <c r="B2545" s="32"/>
    </row>
    <row r="2546" spans="1:2" x14ac:dyDescent="0.35">
      <c r="A2546" s="32" t="s">
        <v>1599</v>
      </c>
      <c r="B2546" s="32"/>
    </row>
    <row r="2547" spans="1:2" x14ac:dyDescent="0.35">
      <c r="A2547" s="32" t="s">
        <v>1600</v>
      </c>
      <c r="B2547" s="32"/>
    </row>
    <row r="2548" spans="1:2" x14ac:dyDescent="0.35">
      <c r="A2548" s="32" t="s">
        <v>313</v>
      </c>
      <c r="B2548" s="32"/>
    </row>
    <row r="2549" spans="1:2" x14ac:dyDescent="0.35">
      <c r="A2549" s="32" t="s">
        <v>314</v>
      </c>
      <c r="B2549" s="32"/>
    </row>
    <row r="2550" spans="1:2" x14ac:dyDescent="0.35">
      <c r="A2550" s="32" t="s">
        <v>1601</v>
      </c>
      <c r="B2550" s="32"/>
    </row>
    <row r="2551" spans="1:2" x14ac:dyDescent="0.35">
      <c r="A2551" s="32" t="s">
        <v>1602</v>
      </c>
      <c r="B2551" s="32"/>
    </row>
    <row r="2552" spans="1:2" x14ac:dyDescent="0.35">
      <c r="A2552" s="32" t="s">
        <v>1603</v>
      </c>
      <c r="B2552" s="32"/>
    </row>
    <row r="2553" spans="1:2" x14ac:dyDescent="0.35">
      <c r="A2553" s="32" t="s">
        <v>315</v>
      </c>
      <c r="B2553" s="32"/>
    </row>
    <row r="2554" spans="1:2" x14ac:dyDescent="0.35">
      <c r="A2554" s="32" t="s">
        <v>316</v>
      </c>
      <c r="B2554" s="32"/>
    </row>
    <row r="2555" spans="1:2" x14ac:dyDescent="0.35">
      <c r="A2555" s="32" t="s">
        <v>317</v>
      </c>
      <c r="B2555" s="32"/>
    </row>
    <row r="2556" spans="1:2" x14ac:dyDescent="0.35">
      <c r="A2556" s="32" t="s">
        <v>318</v>
      </c>
      <c r="B2556" s="32"/>
    </row>
    <row r="2557" spans="1:2" x14ac:dyDescent="0.35">
      <c r="A2557" s="32" t="s">
        <v>319</v>
      </c>
      <c r="B2557" s="32"/>
    </row>
    <row r="2558" spans="1:2" x14ac:dyDescent="0.35">
      <c r="A2558" s="32" t="s">
        <v>320</v>
      </c>
      <c r="B2558" s="32"/>
    </row>
    <row r="2559" spans="1:2" x14ac:dyDescent="0.35">
      <c r="A2559" s="32" t="s">
        <v>321</v>
      </c>
      <c r="B2559" s="32"/>
    </row>
    <row r="2560" spans="1:2" x14ac:dyDescent="0.35">
      <c r="A2560" s="32" t="s">
        <v>322</v>
      </c>
      <c r="B2560" s="32"/>
    </row>
    <row r="2561" spans="1:2" x14ac:dyDescent="0.35">
      <c r="A2561" s="32" t="s">
        <v>323</v>
      </c>
      <c r="B2561" s="32"/>
    </row>
    <row r="2562" spans="1:2" x14ac:dyDescent="0.35">
      <c r="A2562" s="32" t="s">
        <v>324</v>
      </c>
      <c r="B2562" s="32"/>
    </row>
    <row r="2563" spans="1:2" x14ac:dyDescent="0.35">
      <c r="A2563" s="32" t="s">
        <v>325</v>
      </c>
      <c r="B2563" s="32"/>
    </row>
    <row r="2564" spans="1:2" x14ac:dyDescent="0.35">
      <c r="A2564" s="32" t="s">
        <v>326</v>
      </c>
      <c r="B2564" s="32"/>
    </row>
    <row r="2565" spans="1:2" x14ac:dyDescent="0.35">
      <c r="A2565" s="32" t="s">
        <v>327</v>
      </c>
      <c r="B2565" s="32"/>
    </row>
    <row r="2566" spans="1:2" x14ac:dyDescent="0.35">
      <c r="A2566" s="32" t="s">
        <v>328</v>
      </c>
      <c r="B2566" s="32"/>
    </row>
    <row r="2567" spans="1:2" x14ac:dyDescent="0.35">
      <c r="A2567" s="32" t="s">
        <v>329</v>
      </c>
      <c r="B2567" s="32"/>
    </row>
    <row r="2568" spans="1:2" x14ac:dyDescent="0.35">
      <c r="A2568" s="32" t="s">
        <v>330</v>
      </c>
      <c r="B2568" s="32"/>
    </row>
    <row r="2569" spans="1:2" x14ac:dyDescent="0.35">
      <c r="A2569" s="32" t="s">
        <v>331</v>
      </c>
      <c r="B2569" s="32"/>
    </row>
    <row r="2570" spans="1:2" x14ac:dyDescent="0.35">
      <c r="A2570" s="32" t="s">
        <v>332</v>
      </c>
      <c r="B2570" s="32"/>
    </row>
    <row r="2571" spans="1:2" x14ac:dyDescent="0.35">
      <c r="A2571" s="32" t="s">
        <v>333</v>
      </c>
      <c r="B2571" s="32"/>
    </row>
    <row r="2572" spans="1:2" x14ac:dyDescent="0.35">
      <c r="A2572" s="32" t="s">
        <v>334</v>
      </c>
      <c r="B2572" s="32"/>
    </row>
    <row r="2573" spans="1:2" x14ac:dyDescent="0.35">
      <c r="A2573" s="32" t="s">
        <v>335</v>
      </c>
      <c r="B2573" s="32"/>
    </row>
    <row r="2574" spans="1:2" x14ac:dyDescent="0.35">
      <c r="A2574" s="32" t="s">
        <v>1604</v>
      </c>
      <c r="B2574" s="32"/>
    </row>
    <row r="2575" spans="1:2" x14ac:dyDescent="0.35">
      <c r="A2575" s="32" t="s">
        <v>1605</v>
      </c>
      <c r="B2575" s="32"/>
    </row>
    <row r="2576" spans="1:2" x14ac:dyDescent="0.35">
      <c r="A2576" s="32" t="s">
        <v>336</v>
      </c>
      <c r="B2576" s="32"/>
    </row>
    <row r="2577" spans="1:2" x14ac:dyDescent="0.35">
      <c r="A2577" s="32" t="s">
        <v>1606</v>
      </c>
      <c r="B2577" s="32"/>
    </row>
    <row r="2578" spans="1:2" x14ac:dyDescent="0.35">
      <c r="A2578" s="32" t="s">
        <v>1607</v>
      </c>
      <c r="B2578" s="32"/>
    </row>
    <row r="2579" spans="1:2" x14ac:dyDescent="0.35">
      <c r="A2579" s="32" t="s">
        <v>339</v>
      </c>
      <c r="B2579" s="32"/>
    </row>
    <row r="2580" spans="1:2" x14ac:dyDescent="0.35">
      <c r="A2580" s="32" t="s">
        <v>1608</v>
      </c>
      <c r="B2580" s="32"/>
    </row>
    <row r="2581" spans="1:2" x14ac:dyDescent="0.35">
      <c r="A2581" s="32" t="s">
        <v>1609</v>
      </c>
      <c r="B2581" s="32"/>
    </row>
    <row r="2582" spans="1:2" x14ac:dyDescent="0.35">
      <c r="A2582" s="32" t="s">
        <v>342</v>
      </c>
      <c r="B2582" s="32"/>
    </row>
    <row r="2583" spans="1:2" x14ac:dyDescent="0.35">
      <c r="A2583" s="32" t="s">
        <v>343</v>
      </c>
      <c r="B2583" s="32"/>
    </row>
    <row r="2584" spans="1:2" x14ac:dyDescent="0.35">
      <c r="A2584" s="32" t="s">
        <v>344</v>
      </c>
      <c r="B2584" s="32"/>
    </row>
    <row r="2585" spans="1:2" x14ac:dyDescent="0.35">
      <c r="A2585" s="32" t="s">
        <v>345</v>
      </c>
      <c r="B2585" s="32"/>
    </row>
    <row r="2586" spans="1:2" x14ac:dyDescent="0.35">
      <c r="A2586" s="32" t="s">
        <v>346</v>
      </c>
      <c r="B2586" s="32"/>
    </row>
    <row r="2587" spans="1:2" x14ac:dyDescent="0.35">
      <c r="A2587" s="32" t="s">
        <v>1610</v>
      </c>
      <c r="B2587" s="32"/>
    </row>
    <row r="2588" spans="1:2" x14ac:dyDescent="0.35">
      <c r="A2588" s="32" t="s">
        <v>347</v>
      </c>
      <c r="B2588" s="32"/>
    </row>
    <row r="2589" spans="1:2" x14ac:dyDescent="0.35">
      <c r="A2589" s="32" t="s">
        <v>1611</v>
      </c>
      <c r="B2589" s="32"/>
    </row>
    <row r="2590" spans="1:2" x14ac:dyDescent="0.35">
      <c r="A2590" s="32" t="s">
        <v>348</v>
      </c>
      <c r="B2590" s="32"/>
    </row>
    <row r="2591" spans="1:2" x14ac:dyDescent="0.35">
      <c r="A2591" s="32" t="s">
        <v>1612</v>
      </c>
      <c r="B2591" s="32"/>
    </row>
    <row r="2592" spans="1:2" x14ac:dyDescent="0.35">
      <c r="A2592" s="32" t="s">
        <v>1613</v>
      </c>
      <c r="B2592" s="32"/>
    </row>
    <row r="2593" spans="1:2" x14ac:dyDescent="0.35">
      <c r="A2593" s="32" t="s">
        <v>1614</v>
      </c>
      <c r="B2593" s="32"/>
    </row>
    <row r="2594" spans="1:2" x14ac:dyDescent="0.35">
      <c r="A2594" s="32" t="s">
        <v>350</v>
      </c>
      <c r="B2594" s="32"/>
    </row>
    <row r="2595" spans="1:2" x14ac:dyDescent="0.35">
      <c r="A2595" s="32" t="s">
        <v>1615</v>
      </c>
      <c r="B2595" s="32"/>
    </row>
    <row r="2596" spans="1:2" x14ac:dyDescent="0.35">
      <c r="A2596" s="32" t="s">
        <v>1616</v>
      </c>
      <c r="B2596" s="32"/>
    </row>
    <row r="2597" spans="1:2" x14ac:dyDescent="0.35">
      <c r="A2597" s="32" t="s">
        <v>1617</v>
      </c>
      <c r="B2597" s="32"/>
    </row>
    <row r="2598" spans="1:2" x14ac:dyDescent="0.35">
      <c r="A2598" s="32" t="s">
        <v>1618</v>
      </c>
      <c r="B2598" s="32"/>
    </row>
    <row r="2599" spans="1:2" x14ac:dyDescent="0.35">
      <c r="A2599" s="32" t="s">
        <v>351</v>
      </c>
      <c r="B2599" s="32"/>
    </row>
    <row r="2600" spans="1:2" x14ac:dyDescent="0.35">
      <c r="A2600" s="32" t="s">
        <v>352</v>
      </c>
      <c r="B2600" s="32"/>
    </row>
    <row r="2601" spans="1:2" x14ac:dyDescent="0.35">
      <c r="A2601" s="32" t="s">
        <v>353</v>
      </c>
      <c r="B2601" s="32"/>
    </row>
    <row r="2602" spans="1:2" x14ac:dyDescent="0.35">
      <c r="A2602" s="32" t="s">
        <v>354</v>
      </c>
      <c r="B2602" s="32"/>
    </row>
    <row r="2603" spans="1:2" x14ac:dyDescent="0.35">
      <c r="A2603" s="32" t="s">
        <v>1619</v>
      </c>
      <c r="B2603" s="32"/>
    </row>
    <row r="2604" spans="1:2" x14ac:dyDescent="0.35">
      <c r="A2604" s="32" t="s">
        <v>1620</v>
      </c>
      <c r="B2604" s="32"/>
    </row>
    <row r="2605" spans="1:2" x14ac:dyDescent="0.35">
      <c r="A2605" s="32" t="s">
        <v>1621</v>
      </c>
      <c r="B2605" s="32"/>
    </row>
    <row r="2606" spans="1:2" x14ac:dyDescent="0.35">
      <c r="A2606" s="32" t="s">
        <v>356</v>
      </c>
      <c r="B2606" s="32"/>
    </row>
    <row r="2607" spans="1:2" x14ac:dyDescent="0.35">
      <c r="A2607" s="32" t="s">
        <v>1622</v>
      </c>
      <c r="B2607" s="32"/>
    </row>
    <row r="2608" spans="1:2" x14ac:dyDescent="0.35">
      <c r="A2608" s="32" t="s">
        <v>1623</v>
      </c>
      <c r="B2608" s="32"/>
    </row>
    <row r="2609" spans="1:2" x14ac:dyDescent="0.35">
      <c r="A2609" s="32" t="s">
        <v>1624</v>
      </c>
      <c r="B2609" s="32"/>
    </row>
    <row r="2610" spans="1:2" x14ac:dyDescent="0.35">
      <c r="A2610" s="32" t="s">
        <v>1625</v>
      </c>
      <c r="B2610" s="32"/>
    </row>
    <row r="2611" spans="1:2" x14ac:dyDescent="0.35">
      <c r="A2611" s="32" t="s">
        <v>1626</v>
      </c>
      <c r="B2611" s="32"/>
    </row>
    <row r="2612" spans="1:2" x14ac:dyDescent="0.35">
      <c r="A2612" s="32" t="s">
        <v>1627</v>
      </c>
      <c r="B2612" s="32"/>
    </row>
    <row r="2613" spans="1:2" x14ac:dyDescent="0.35">
      <c r="A2613" s="32" t="s">
        <v>1628</v>
      </c>
      <c r="B2613" s="32"/>
    </row>
    <row r="2614" spans="1:2" x14ac:dyDescent="0.35">
      <c r="A2614" s="32" t="s">
        <v>359</v>
      </c>
      <c r="B2614" s="32"/>
    </row>
    <row r="2615" spans="1:2" x14ac:dyDescent="0.35">
      <c r="A2615" s="32" t="s">
        <v>1629</v>
      </c>
      <c r="B2615" s="32"/>
    </row>
    <row r="2616" spans="1:2" x14ac:dyDescent="0.35">
      <c r="A2616" s="32" t="s">
        <v>361</v>
      </c>
      <c r="B2616" s="32"/>
    </row>
    <row r="2617" spans="1:2" x14ac:dyDescent="0.35">
      <c r="A2617" s="32" t="s">
        <v>1630</v>
      </c>
      <c r="B2617" s="32"/>
    </row>
    <row r="2618" spans="1:2" x14ac:dyDescent="0.35">
      <c r="A2618" s="32" t="s">
        <v>363</v>
      </c>
      <c r="B2618" s="32"/>
    </row>
    <row r="2619" spans="1:2" x14ac:dyDescent="0.35">
      <c r="A2619" s="32" t="s">
        <v>364</v>
      </c>
      <c r="B2619" s="32"/>
    </row>
    <row r="2620" spans="1:2" x14ac:dyDescent="0.35">
      <c r="A2620" s="32" t="s">
        <v>365</v>
      </c>
      <c r="B2620" s="32"/>
    </row>
    <row r="2621" spans="1:2" x14ac:dyDescent="0.35">
      <c r="A2621" s="32" t="s">
        <v>366</v>
      </c>
      <c r="B2621" s="32"/>
    </row>
    <row r="2622" spans="1:2" x14ac:dyDescent="0.35">
      <c r="A2622" s="32" t="s">
        <v>367</v>
      </c>
      <c r="B2622" s="32"/>
    </row>
    <row r="2623" spans="1:2" x14ac:dyDescent="0.35">
      <c r="A2623" s="32" t="s">
        <v>368</v>
      </c>
      <c r="B2623" s="32"/>
    </row>
    <row r="2624" spans="1:2" x14ac:dyDescent="0.35">
      <c r="A2624" s="32" t="s">
        <v>369</v>
      </c>
      <c r="B2624" s="32"/>
    </row>
    <row r="2625" spans="1:2" x14ac:dyDescent="0.35">
      <c r="A2625" s="32" t="s">
        <v>370</v>
      </c>
      <c r="B2625" s="32"/>
    </row>
    <row r="2626" spans="1:2" x14ac:dyDescent="0.35">
      <c r="A2626" s="32" t="s">
        <v>371</v>
      </c>
      <c r="B2626" s="32"/>
    </row>
    <row r="2627" spans="1:2" x14ac:dyDescent="0.35">
      <c r="A2627" s="32" t="s">
        <v>372</v>
      </c>
      <c r="B2627" s="32"/>
    </row>
    <row r="2628" spans="1:2" x14ac:dyDescent="0.35">
      <c r="A2628" s="32" t="s">
        <v>373</v>
      </c>
      <c r="B2628" s="32"/>
    </row>
    <row r="2629" spans="1:2" x14ac:dyDescent="0.35">
      <c r="A2629" s="32" t="s">
        <v>1631</v>
      </c>
      <c r="B2629" s="32"/>
    </row>
    <row r="2630" spans="1:2" x14ac:dyDescent="0.35">
      <c r="A2630" s="32" t="s">
        <v>375</v>
      </c>
      <c r="B2630" s="32"/>
    </row>
    <row r="2631" spans="1:2" x14ac:dyDescent="0.35">
      <c r="A2631" s="32" t="s">
        <v>376</v>
      </c>
      <c r="B2631" s="32"/>
    </row>
    <row r="2632" spans="1:2" x14ac:dyDescent="0.35">
      <c r="A2632" s="32" t="s">
        <v>377</v>
      </c>
      <c r="B2632" s="32"/>
    </row>
    <row r="2633" spans="1:2" x14ac:dyDescent="0.35">
      <c r="A2633" s="32" t="s">
        <v>378</v>
      </c>
      <c r="B2633" s="32"/>
    </row>
    <row r="2634" spans="1:2" x14ac:dyDescent="0.35">
      <c r="A2634" s="32" t="s">
        <v>379</v>
      </c>
      <c r="B2634" s="32"/>
    </row>
    <row r="2635" spans="1:2" x14ac:dyDescent="0.35">
      <c r="A2635" s="32" t="s">
        <v>380</v>
      </c>
      <c r="B2635" s="32"/>
    </row>
    <row r="2636" spans="1:2" x14ac:dyDescent="0.35">
      <c r="A2636" s="32" t="s">
        <v>381</v>
      </c>
      <c r="B2636" s="32"/>
    </row>
    <row r="2637" spans="1:2" x14ac:dyDescent="0.35">
      <c r="A2637" s="32" t="s">
        <v>382</v>
      </c>
      <c r="B2637" s="32"/>
    </row>
    <row r="2638" spans="1:2" x14ac:dyDescent="0.35">
      <c r="A2638" s="32" t="s">
        <v>383</v>
      </c>
      <c r="B2638" s="32"/>
    </row>
    <row r="2639" spans="1:2" x14ac:dyDescent="0.35">
      <c r="A2639" s="32" t="s">
        <v>384</v>
      </c>
      <c r="B2639" s="32"/>
    </row>
    <row r="2640" spans="1:2" x14ac:dyDescent="0.35">
      <c r="A2640" s="32" t="s">
        <v>385</v>
      </c>
      <c r="B2640" s="32"/>
    </row>
    <row r="2641" spans="1:2" x14ac:dyDescent="0.35">
      <c r="A2641" s="32" t="s">
        <v>386</v>
      </c>
      <c r="B2641" s="32"/>
    </row>
    <row r="2642" spans="1:2" x14ac:dyDescent="0.35">
      <c r="A2642" s="32" t="s">
        <v>1632</v>
      </c>
      <c r="B2642" s="32"/>
    </row>
    <row r="2643" spans="1:2" x14ac:dyDescent="0.35">
      <c r="A2643" s="32" t="s">
        <v>1633</v>
      </c>
      <c r="B2643" s="32"/>
    </row>
    <row r="2644" spans="1:2" x14ac:dyDescent="0.35">
      <c r="A2644" s="32" t="s">
        <v>1634</v>
      </c>
      <c r="B2644" s="32"/>
    </row>
    <row r="2645" spans="1:2" x14ac:dyDescent="0.35">
      <c r="A2645" s="32" t="s">
        <v>1635</v>
      </c>
      <c r="B2645" s="32"/>
    </row>
    <row r="2646" spans="1:2" x14ac:dyDescent="0.35">
      <c r="A2646" s="32" t="s">
        <v>1636</v>
      </c>
      <c r="B2646" s="32"/>
    </row>
    <row r="2647" spans="1:2" x14ac:dyDescent="0.35">
      <c r="A2647" s="32" t="s">
        <v>388</v>
      </c>
      <c r="B2647" s="32"/>
    </row>
    <row r="2648" spans="1:2" x14ac:dyDescent="0.35">
      <c r="A2648" s="32" t="s">
        <v>389</v>
      </c>
      <c r="B2648" s="32"/>
    </row>
    <row r="2649" spans="1:2" x14ac:dyDescent="0.35">
      <c r="A2649" s="32" t="s">
        <v>390</v>
      </c>
      <c r="B2649" s="32"/>
    </row>
    <row r="2650" spans="1:2" x14ac:dyDescent="0.35">
      <c r="A2650" s="32" t="s">
        <v>1637</v>
      </c>
      <c r="B2650" s="32"/>
    </row>
    <row r="2651" spans="1:2" x14ac:dyDescent="0.35">
      <c r="A2651" s="32" t="s">
        <v>1638</v>
      </c>
      <c r="B2651" s="32"/>
    </row>
    <row r="2652" spans="1:2" x14ac:dyDescent="0.35">
      <c r="A2652" s="32" t="s">
        <v>1639</v>
      </c>
      <c r="B2652" s="32"/>
    </row>
    <row r="2653" spans="1:2" x14ac:dyDescent="0.35">
      <c r="A2653" s="32" t="s">
        <v>1640</v>
      </c>
      <c r="B2653" s="32"/>
    </row>
    <row r="2654" spans="1:2" x14ac:dyDescent="0.35">
      <c r="A2654" s="32" t="s">
        <v>391</v>
      </c>
      <c r="B2654" s="32"/>
    </row>
    <row r="2655" spans="1:2" x14ac:dyDescent="0.35">
      <c r="A2655" s="32" t="s">
        <v>1641</v>
      </c>
      <c r="B2655" s="32"/>
    </row>
    <row r="2656" spans="1:2" x14ac:dyDescent="0.35">
      <c r="A2656" s="32" t="s">
        <v>1642</v>
      </c>
      <c r="B2656" s="32"/>
    </row>
    <row r="2657" spans="1:2" x14ac:dyDescent="0.35">
      <c r="A2657" s="32" t="s">
        <v>1643</v>
      </c>
      <c r="B2657" s="32"/>
    </row>
    <row r="2658" spans="1:2" x14ac:dyDescent="0.35">
      <c r="A2658" s="32" t="s">
        <v>394</v>
      </c>
      <c r="B2658" s="32"/>
    </row>
    <row r="2659" spans="1:2" x14ac:dyDescent="0.35">
      <c r="A2659" s="32" t="s">
        <v>395</v>
      </c>
      <c r="B2659" s="32"/>
    </row>
    <row r="2660" spans="1:2" x14ac:dyDescent="0.35">
      <c r="A2660" s="32" t="s">
        <v>396</v>
      </c>
      <c r="B2660" s="32"/>
    </row>
    <row r="2661" spans="1:2" x14ac:dyDescent="0.35">
      <c r="A2661" s="32" t="s">
        <v>397</v>
      </c>
      <c r="B2661" s="32"/>
    </row>
    <row r="2662" spans="1:2" x14ac:dyDescent="0.35">
      <c r="A2662" s="32" t="s">
        <v>398</v>
      </c>
      <c r="B2662" s="32"/>
    </row>
    <row r="2663" spans="1:2" x14ac:dyDescent="0.35">
      <c r="A2663" s="32" t="s">
        <v>399</v>
      </c>
      <c r="B2663" s="32"/>
    </row>
    <row r="2664" spans="1:2" x14ac:dyDescent="0.35">
      <c r="A2664" s="32" t="s">
        <v>400</v>
      </c>
      <c r="B2664" s="32"/>
    </row>
    <row r="2665" spans="1:2" x14ac:dyDescent="0.35">
      <c r="A2665" s="32" t="s">
        <v>401</v>
      </c>
      <c r="B2665" s="32"/>
    </row>
    <row r="2666" spans="1:2" x14ac:dyDescent="0.35">
      <c r="A2666" s="32" t="s">
        <v>1644</v>
      </c>
      <c r="B2666" s="32"/>
    </row>
    <row r="2667" spans="1:2" x14ac:dyDescent="0.35">
      <c r="A2667" s="32" t="s">
        <v>402</v>
      </c>
      <c r="B2667" s="32"/>
    </row>
    <row r="2668" spans="1:2" x14ac:dyDescent="0.35">
      <c r="A2668" s="32" t="s">
        <v>403</v>
      </c>
      <c r="B2668" s="32"/>
    </row>
    <row r="2669" spans="1:2" x14ac:dyDescent="0.35">
      <c r="A2669" s="32" t="s">
        <v>1645</v>
      </c>
      <c r="B2669" s="32"/>
    </row>
    <row r="2670" spans="1:2" x14ac:dyDescent="0.35">
      <c r="A2670" s="32" t="s">
        <v>404</v>
      </c>
      <c r="B2670" s="32"/>
    </row>
    <row r="2671" spans="1:2" x14ac:dyDescent="0.35">
      <c r="A2671" s="32" t="s">
        <v>1646</v>
      </c>
      <c r="B2671" s="32"/>
    </row>
    <row r="2672" spans="1:2" x14ac:dyDescent="0.35">
      <c r="A2672" s="32" t="s">
        <v>1647</v>
      </c>
      <c r="B2672" s="32"/>
    </row>
    <row r="2673" spans="1:2" x14ac:dyDescent="0.35">
      <c r="A2673" s="32" t="s">
        <v>405</v>
      </c>
      <c r="B2673" s="32"/>
    </row>
    <row r="2674" spans="1:2" x14ac:dyDescent="0.35">
      <c r="A2674" s="32" t="s">
        <v>1648</v>
      </c>
      <c r="B2674" s="32"/>
    </row>
    <row r="2675" spans="1:2" x14ac:dyDescent="0.35">
      <c r="A2675" s="32" t="s">
        <v>1649</v>
      </c>
      <c r="B2675" s="32"/>
    </row>
    <row r="2676" spans="1:2" x14ac:dyDescent="0.35">
      <c r="A2676" s="32" t="s">
        <v>1650</v>
      </c>
      <c r="B2676" s="32"/>
    </row>
    <row r="2677" spans="1:2" x14ac:dyDescent="0.35">
      <c r="A2677" s="32" t="s">
        <v>406</v>
      </c>
      <c r="B2677" s="32"/>
    </row>
    <row r="2678" spans="1:2" x14ac:dyDescent="0.35">
      <c r="A2678" s="32" t="s">
        <v>1651</v>
      </c>
      <c r="B2678" s="32"/>
    </row>
    <row r="2679" spans="1:2" x14ac:dyDescent="0.35">
      <c r="A2679" s="32" t="s">
        <v>408</v>
      </c>
      <c r="B2679" s="32"/>
    </row>
    <row r="2680" spans="1:2" x14ac:dyDescent="0.35">
      <c r="A2680" s="32" t="s">
        <v>409</v>
      </c>
      <c r="B2680" s="32"/>
    </row>
    <row r="2681" spans="1:2" x14ac:dyDescent="0.35">
      <c r="A2681" s="32" t="s">
        <v>1652</v>
      </c>
      <c r="B2681" s="32"/>
    </row>
    <row r="2682" spans="1:2" x14ac:dyDescent="0.35">
      <c r="A2682" s="32" t="s">
        <v>1653</v>
      </c>
      <c r="B2682" s="32"/>
    </row>
    <row r="2683" spans="1:2" x14ac:dyDescent="0.35">
      <c r="A2683" s="32" t="s">
        <v>1654</v>
      </c>
      <c r="B2683" s="32"/>
    </row>
    <row r="2684" spans="1:2" x14ac:dyDescent="0.35">
      <c r="A2684" s="32" t="s">
        <v>1655</v>
      </c>
      <c r="B2684" s="32"/>
    </row>
    <row r="2685" spans="1:2" x14ac:dyDescent="0.35">
      <c r="A2685" s="32" t="s">
        <v>1656</v>
      </c>
      <c r="B2685" s="32"/>
    </row>
    <row r="2686" spans="1:2" x14ac:dyDescent="0.35">
      <c r="A2686" s="32" t="s">
        <v>1657</v>
      </c>
      <c r="B2686" s="32"/>
    </row>
    <row r="2687" spans="1:2" x14ac:dyDescent="0.35">
      <c r="A2687" s="32" t="s">
        <v>410</v>
      </c>
      <c r="B2687" s="32"/>
    </row>
    <row r="2688" spans="1:2" x14ac:dyDescent="0.35">
      <c r="A2688" s="32" t="s">
        <v>411</v>
      </c>
      <c r="B2688" s="32"/>
    </row>
    <row r="2689" spans="1:2" x14ac:dyDescent="0.35">
      <c r="A2689" s="32" t="s">
        <v>412</v>
      </c>
      <c r="B2689" s="32"/>
    </row>
    <row r="2690" spans="1:2" x14ac:dyDescent="0.35">
      <c r="A2690" s="32" t="s">
        <v>1658</v>
      </c>
      <c r="B2690" s="32"/>
    </row>
    <row r="2691" spans="1:2" x14ac:dyDescent="0.35">
      <c r="A2691" s="32" t="s">
        <v>413</v>
      </c>
      <c r="B2691" s="32"/>
    </row>
    <row r="2692" spans="1:2" x14ac:dyDescent="0.35">
      <c r="A2692" s="32" t="s">
        <v>414</v>
      </c>
      <c r="B2692" s="32"/>
    </row>
    <row r="2693" spans="1:2" x14ac:dyDescent="0.35">
      <c r="A2693" s="32" t="s">
        <v>415</v>
      </c>
      <c r="B2693" s="32"/>
    </row>
    <row r="2694" spans="1:2" x14ac:dyDescent="0.35">
      <c r="A2694" s="32" t="s">
        <v>416</v>
      </c>
      <c r="B2694" s="32"/>
    </row>
    <row r="2695" spans="1:2" x14ac:dyDescent="0.35">
      <c r="A2695" s="32" t="s">
        <v>417</v>
      </c>
      <c r="B2695" s="32"/>
    </row>
    <row r="2696" spans="1:2" x14ac:dyDescent="0.35">
      <c r="A2696" s="32" t="s">
        <v>1659</v>
      </c>
      <c r="B2696" s="32"/>
    </row>
    <row r="2697" spans="1:2" x14ac:dyDescent="0.35">
      <c r="A2697" s="32" t="s">
        <v>418</v>
      </c>
      <c r="B2697" s="32"/>
    </row>
    <row r="2698" spans="1:2" x14ac:dyDescent="0.35">
      <c r="A2698" s="32" t="s">
        <v>419</v>
      </c>
      <c r="B2698" s="32"/>
    </row>
    <row r="2699" spans="1:2" x14ac:dyDescent="0.35">
      <c r="A2699" s="32" t="s">
        <v>1660</v>
      </c>
      <c r="B2699" s="32"/>
    </row>
    <row r="2700" spans="1:2" x14ac:dyDescent="0.35">
      <c r="A2700" s="32" t="s">
        <v>421</v>
      </c>
      <c r="B2700" s="32"/>
    </row>
    <row r="2701" spans="1:2" x14ac:dyDescent="0.35">
      <c r="A2701" s="32" t="s">
        <v>422</v>
      </c>
      <c r="B2701" s="32"/>
    </row>
    <row r="2702" spans="1:2" x14ac:dyDescent="0.35">
      <c r="A2702" s="32" t="s">
        <v>423</v>
      </c>
      <c r="B2702" s="32"/>
    </row>
    <row r="2703" spans="1:2" x14ac:dyDescent="0.35">
      <c r="A2703" s="32" t="s">
        <v>424</v>
      </c>
      <c r="B2703" s="32"/>
    </row>
    <row r="2704" spans="1:2" x14ac:dyDescent="0.35">
      <c r="A2704" s="32" t="s">
        <v>1661</v>
      </c>
      <c r="B2704" s="32"/>
    </row>
    <row r="2705" spans="1:2" x14ac:dyDescent="0.35">
      <c r="A2705" s="32" t="s">
        <v>425</v>
      </c>
      <c r="B2705" s="32"/>
    </row>
    <row r="2706" spans="1:2" x14ac:dyDescent="0.35">
      <c r="A2706" s="32" t="s">
        <v>426</v>
      </c>
      <c r="B2706" s="32"/>
    </row>
    <row r="2707" spans="1:2" x14ac:dyDescent="0.35">
      <c r="A2707" s="32" t="s">
        <v>1662</v>
      </c>
      <c r="B2707" s="32"/>
    </row>
    <row r="2708" spans="1:2" x14ac:dyDescent="0.35">
      <c r="A2708" s="32" t="s">
        <v>427</v>
      </c>
      <c r="B2708" s="32"/>
    </row>
    <row r="2709" spans="1:2" x14ac:dyDescent="0.35">
      <c r="A2709" s="32" t="s">
        <v>1663</v>
      </c>
      <c r="B2709" s="32"/>
    </row>
    <row r="2710" spans="1:2" x14ac:dyDescent="0.35">
      <c r="A2710" s="32" t="s">
        <v>1664</v>
      </c>
      <c r="B2710" s="32"/>
    </row>
    <row r="2711" spans="1:2" x14ac:dyDescent="0.35">
      <c r="A2711" s="32" t="s">
        <v>428</v>
      </c>
      <c r="B2711" s="32"/>
    </row>
    <row r="2712" spans="1:2" x14ac:dyDescent="0.35">
      <c r="A2712" s="32" t="s">
        <v>1665</v>
      </c>
      <c r="B2712" s="32"/>
    </row>
    <row r="2713" spans="1:2" x14ac:dyDescent="0.35">
      <c r="A2713" s="32" t="s">
        <v>429</v>
      </c>
      <c r="B2713" s="32"/>
    </row>
    <row r="2714" spans="1:2" x14ac:dyDescent="0.35">
      <c r="A2714" s="32" t="s">
        <v>1666</v>
      </c>
      <c r="B2714" s="32"/>
    </row>
    <row r="2715" spans="1:2" x14ac:dyDescent="0.35">
      <c r="A2715" s="32" t="s">
        <v>430</v>
      </c>
      <c r="B2715" s="32"/>
    </row>
    <row r="2716" spans="1:2" x14ac:dyDescent="0.35">
      <c r="A2716" s="32" t="s">
        <v>1667</v>
      </c>
      <c r="B2716" s="32"/>
    </row>
    <row r="2717" spans="1:2" x14ac:dyDescent="0.35">
      <c r="A2717" s="32" t="s">
        <v>431</v>
      </c>
      <c r="B2717" s="32"/>
    </row>
    <row r="2718" spans="1:2" x14ac:dyDescent="0.35">
      <c r="A2718" s="32" t="s">
        <v>1668</v>
      </c>
      <c r="B2718" s="32"/>
    </row>
    <row r="2719" spans="1:2" x14ac:dyDescent="0.35">
      <c r="A2719" s="32" t="s">
        <v>432</v>
      </c>
      <c r="B2719" s="32"/>
    </row>
    <row r="2720" spans="1:2" x14ac:dyDescent="0.35">
      <c r="A2720" s="32" t="s">
        <v>433</v>
      </c>
      <c r="B2720" s="32"/>
    </row>
    <row r="2721" spans="1:2" x14ac:dyDescent="0.35">
      <c r="A2721" s="32" t="s">
        <v>1669</v>
      </c>
      <c r="B2721" s="32"/>
    </row>
    <row r="2722" spans="1:2" x14ac:dyDescent="0.35">
      <c r="A2722" s="32" t="s">
        <v>1670</v>
      </c>
      <c r="B2722" s="32"/>
    </row>
    <row r="2723" spans="1:2" x14ac:dyDescent="0.35">
      <c r="A2723" s="32" t="s">
        <v>434</v>
      </c>
      <c r="B2723" s="32"/>
    </row>
    <row r="2724" spans="1:2" x14ac:dyDescent="0.35">
      <c r="A2724" s="32" t="s">
        <v>1671</v>
      </c>
      <c r="B2724" s="32"/>
    </row>
    <row r="2725" spans="1:2" x14ac:dyDescent="0.35">
      <c r="A2725" s="32" t="s">
        <v>435</v>
      </c>
      <c r="B2725" s="32"/>
    </row>
    <row r="2726" spans="1:2" x14ac:dyDescent="0.35">
      <c r="A2726" s="32" t="s">
        <v>1672</v>
      </c>
      <c r="B2726" s="32"/>
    </row>
    <row r="2727" spans="1:2" x14ac:dyDescent="0.35">
      <c r="A2727" s="32" t="s">
        <v>1673</v>
      </c>
      <c r="B2727" s="32"/>
    </row>
    <row r="2728" spans="1:2" x14ac:dyDescent="0.35">
      <c r="A2728" s="32" t="s">
        <v>436</v>
      </c>
      <c r="B2728" s="32"/>
    </row>
    <row r="2729" spans="1:2" x14ac:dyDescent="0.35">
      <c r="A2729" s="32" t="s">
        <v>1674</v>
      </c>
      <c r="B2729" s="32"/>
    </row>
    <row r="2730" spans="1:2" x14ac:dyDescent="0.35">
      <c r="A2730" s="32" t="s">
        <v>437</v>
      </c>
      <c r="B2730" s="32"/>
    </row>
    <row r="2731" spans="1:2" x14ac:dyDescent="0.35">
      <c r="A2731" s="32" t="s">
        <v>1675</v>
      </c>
      <c r="B2731" s="32"/>
    </row>
    <row r="2732" spans="1:2" x14ac:dyDescent="0.35">
      <c r="A2732" s="32" t="s">
        <v>438</v>
      </c>
      <c r="B2732" s="32"/>
    </row>
    <row r="2733" spans="1:2" x14ac:dyDescent="0.35">
      <c r="A2733" s="32" t="s">
        <v>1676</v>
      </c>
      <c r="B2733" s="32"/>
    </row>
    <row r="2734" spans="1:2" x14ac:dyDescent="0.35">
      <c r="A2734" s="32" t="s">
        <v>439</v>
      </c>
      <c r="B2734" s="32"/>
    </row>
    <row r="2735" spans="1:2" x14ac:dyDescent="0.35">
      <c r="A2735" s="32" t="s">
        <v>1677</v>
      </c>
      <c r="B2735" s="32"/>
    </row>
    <row r="2736" spans="1:2" x14ac:dyDescent="0.35">
      <c r="A2736" s="32" t="s">
        <v>440</v>
      </c>
      <c r="B2736" s="32"/>
    </row>
    <row r="2737" spans="1:2" x14ac:dyDescent="0.35">
      <c r="A2737" s="32" t="s">
        <v>1678</v>
      </c>
      <c r="B2737" s="32"/>
    </row>
    <row r="2738" spans="1:2" x14ac:dyDescent="0.35">
      <c r="A2738" s="32" t="s">
        <v>441</v>
      </c>
      <c r="B2738" s="32"/>
    </row>
    <row r="2739" spans="1:2" x14ac:dyDescent="0.35">
      <c r="A2739" s="32" t="s">
        <v>1679</v>
      </c>
      <c r="B2739" s="32"/>
    </row>
    <row r="2740" spans="1:2" x14ac:dyDescent="0.35">
      <c r="A2740" s="32" t="s">
        <v>442</v>
      </c>
      <c r="B2740" s="32"/>
    </row>
    <row r="2741" spans="1:2" x14ac:dyDescent="0.35">
      <c r="A2741" s="32" t="s">
        <v>443</v>
      </c>
      <c r="B2741" s="32"/>
    </row>
    <row r="2742" spans="1:2" x14ac:dyDescent="0.35">
      <c r="A2742" s="32" t="s">
        <v>1680</v>
      </c>
      <c r="B2742" s="32"/>
    </row>
    <row r="2743" spans="1:2" x14ac:dyDescent="0.35">
      <c r="A2743" s="32" t="s">
        <v>444</v>
      </c>
      <c r="B2743" s="32"/>
    </row>
    <row r="2744" spans="1:2" x14ac:dyDescent="0.35">
      <c r="A2744" s="32" t="s">
        <v>1681</v>
      </c>
      <c r="B2744" s="32"/>
    </row>
    <row r="2745" spans="1:2" x14ac:dyDescent="0.35">
      <c r="A2745" s="32" t="s">
        <v>445</v>
      </c>
      <c r="B2745" s="32"/>
    </row>
    <row r="2746" spans="1:2" x14ac:dyDescent="0.35">
      <c r="A2746" s="32" t="s">
        <v>1682</v>
      </c>
      <c r="B2746" s="32"/>
    </row>
    <row r="2747" spans="1:2" x14ac:dyDescent="0.35">
      <c r="A2747" s="32" t="s">
        <v>446</v>
      </c>
      <c r="B2747" s="32"/>
    </row>
    <row r="2748" spans="1:2" x14ac:dyDescent="0.35">
      <c r="A2748" s="32" t="s">
        <v>1683</v>
      </c>
      <c r="B2748" s="32"/>
    </row>
    <row r="2749" spans="1:2" x14ac:dyDescent="0.35">
      <c r="A2749" s="32" t="s">
        <v>447</v>
      </c>
      <c r="B2749" s="32"/>
    </row>
    <row r="2750" spans="1:2" x14ac:dyDescent="0.35">
      <c r="A2750" s="32" t="s">
        <v>1684</v>
      </c>
      <c r="B2750" s="32"/>
    </row>
    <row r="2751" spans="1:2" x14ac:dyDescent="0.35">
      <c r="A2751" s="32" t="s">
        <v>448</v>
      </c>
      <c r="B2751" s="32"/>
    </row>
    <row r="2752" spans="1:2" x14ac:dyDescent="0.35">
      <c r="A2752" s="32" t="s">
        <v>1685</v>
      </c>
      <c r="B2752" s="32"/>
    </row>
    <row r="2753" spans="1:2" x14ac:dyDescent="0.35">
      <c r="A2753" s="32" t="s">
        <v>449</v>
      </c>
      <c r="B2753" s="32"/>
    </row>
    <row r="2754" spans="1:2" x14ac:dyDescent="0.35">
      <c r="A2754" s="32" t="s">
        <v>1686</v>
      </c>
      <c r="B2754" s="32"/>
    </row>
    <row r="2755" spans="1:2" x14ac:dyDescent="0.35">
      <c r="A2755" s="32" t="s">
        <v>1687</v>
      </c>
      <c r="B2755" s="32"/>
    </row>
    <row r="2756" spans="1:2" x14ac:dyDescent="0.35">
      <c r="A2756" s="32" t="s">
        <v>450</v>
      </c>
      <c r="B2756" s="32"/>
    </row>
    <row r="2757" spans="1:2" x14ac:dyDescent="0.35">
      <c r="A2757" s="32" t="s">
        <v>451</v>
      </c>
      <c r="B2757" s="32"/>
    </row>
    <row r="2758" spans="1:2" x14ac:dyDescent="0.35">
      <c r="A2758" s="32" t="s">
        <v>1688</v>
      </c>
      <c r="B2758" s="32"/>
    </row>
    <row r="2759" spans="1:2" x14ac:dyDescent="0.35">
      <c r="A2759" s="32" t="s">
        <v>452</v>
      </c>
      <c r="B2759" s="32"/>
    </row>
    <row r="2760" spans="1:2" x14ac:dyDescent="0.35">
      <c r="A2760" s="32" t="s">
        <v>1689</v>
      </c>
      <c r="B2760" s="32"/>
    </row>
    <row r="2761" spans="1:2" x14ac:dyDescent="0.35">
      <c r="A2761" s="32" t="s">
        <v>453</v>
      </c>
      <c r="B2761" s="32"/>
    </row>
    <row r="2762" spans="1:2" x14ac:dyDescent="0.35">
      <c r="A2762" s="32" t="s">
        <v>1690</v>
      </c>
      <c r="B2762" s="32"/>
    </row>
    <row r="2763" spans="1:2" x14ac:dyDescent="0.35">
      <c r="A2763" s="32" t="s">
        <v>454</v>
      </c>
      <c r="B2763" s="32"/>
    </row>
    <row r="2764" spans="1:2" x14ac:dyDescent="0.35">
      <c r="A2764" s="32" t="s">
        <v>1691</v>
      </c>
      <c r="B2764" s="32"/>
    </row>
    <row r="2765" spans="1:2" x14ac:dyDescent="0.35">
      <c r="A2765" s="32" t="s">
        <v>455</v>
      </c>
      <c r="B2765" s="32"/>
    </row>
    <row r="2766" spans="1:2" x14ac:dyDescent="0.35">
      <c r="A2766" s="32" t="s">
        <v>1692</v>
      </c>
      <c r="B2766" s="32"/>
    </row>
    <row r="2767" spans="1:2" x14ac:dyDescent="0.35">
      <c r="A2767" s="32" t="s">
        <v>456</v>
      </c>
      <c r="B2767" s="32"/>
    </row>
    <row r="2768" spans="1:2" x14ac:dyDescent="0.35">
      <c r="A2768" s="32" t="s">
        <v>1693</v>
      </c>
      <c r="B2768" s="32"/>
    </row>
    <row r="2769" spans="1:2" x14ac:dyDescent="0.35">
      <c r="A2769" s="32" t="s">
        <v>457</v>
      </c>
      <c r="B2769" s="32"/>
    </row>
    <row r="2770" spans="1:2" x14ac:dyDescent="0.35">
      <c r="A2770" s="32" t="s">
        <v>1694</v>
      </c>
      <c r="B2770" s="32"/>
    </row>
    <row r="2771" spans="1:2" x14ac:dyDescent="0.35">
      <c r="A2771" s="32" t="s">
        <v>458</v>
      </c>
      <c r="B2771" s="32"/>
    </row>
    <row r="2772" spans="1:2" x14ac:dyDescent="0.35">
      <c r="A2772" s="32" t="s">
        <v>1695</v>
      </c>
      <c r="B2772" s="32"/>
    </row>
    <row r="2773" spans="1:2" x14ac:dyDescent="0.35">
      <c r="A2773" s="32" t="s">
        <v>459</v>
      </c>
      <c r="B2773" s="32"/>
    </row>
    <row r="2774" spans="1:2" x14ac:dyDescent="0.35">
      <c r="A2774" s="32" t="s">
        <v>1696</v>
      </c>
      <c r="B2774" s="32"/>
    </row>
    <row r="2775" spans="1:2" x14ac:dyDescent="0.35">
      <c r="A2775" s="32" t="s">
        <v>460</v>
      </c>
      <c r="B2775" s="32"/>
    </row>
    <row r="2776" spans="1:2" x14ac:dyDescent="0.35">
      <c r="A2776" s="32" t="s">
        <v>1697</v>
      </c>
      <c r="B2776" s="32"/>
    </row>
    <row r="2777" spans="1:2" x14ac:dyDescent="0.35">
      <c r="A2777" s="32" t="s">
        <v>461</v>
      </c>
      <c r="B2777" s="32"/>
    </row>
    <row r="2778" spans="1:2" x14ac:dyDescent="0.35">
      <c r="A2778" s="32" t="s">
        <v>1698</v>
      </c>
      <c r="B2778" s="32"/>
    </row>
    <row r="2779" spans="1:2" x14ac:dyDescent="0.35">
      <c r="A2779" s="32" t="s">
        <v>462</v>
      </c>
      <c r="B2779" s="32"/>
    </row>
    <row r="2780" spans="1:2" x14ac:dyDescent="0.35">
      <c r="A2780" s="32" t="s">
        <v>1699</v>
      </c>
      <c r="B2780" s="32"/>
    </row>
    <row r="2781" spans="1:2" x14ac:dyDescent="0.35">
      <c r="A2781" s="32" t="s">
        <v>463</v>
      </c>
      <c r="B2781" s="32"/>
    </row>
    <row r="2782" spans="1:2" x14ac:dyDescent="0.35">
      <c r="A2782" s="32" t="s">
        <v>464</v>
      </c>
      <c r="B2782" s="32"/>
    </row>
    <row r="2783" spans="1:2" x14ac:dyDescent="0.35">
      <c r="A2783" s="32" t="s">
        <v>465</v>
      </c>
      <c r="B2783" s="32"/>
    </row>
    <row r="2784" spans="1:2" x14ac:dyDescent="0.35">
      <c r="A2784" s="32" t="s">
        <v>466</v>
      </c>
      <c r="B2784" s="32"/>
    </row>
    <row r="2785" spans="1:2" x14ac:dyDescent="0.35">
      <c r="A2785" s="32" t="s">
        <v>1700</v>
      </c>
      <c r="B2785" s="32"/>
    </row>
    <row r="2786" spans="1:2" x14ac:dyDescent="0.35">
      <c r="A2786" s="32" t="s">
        <v>467</v>
      </c>
      <c r="B2786" s="32"/>
    </row>
    <row r="2787" spans="1:2" x14ac:dyDescent="0.35">
      <c r="A2787" s="32" t="s">
        <v>468</v>
      </c>
      <c r="B2787" s="32"/>
    </row>
    <row r="2788" spans="1:2" x14ac:dyDescent="0.35">
      <c r="A2788" s="32" t="s">
        <v>469</v>
      </c>
      <c r="B2788" s="32"/>
    </row>
    <row r="2789" spans="1:2" x14ac:dyDescent="0.35">
      <c r="A2789" s="32" t="s">
        <v>470</v>
      </c>
      <c r="B2789" s="32"/>
    </row>
    <row r="2790" spans="1:2" x14ac:dyDescent="0.35">
      <c r="A2790" s="32" t="s">
        <v>471</v>
      </c>
      <c r="B2790" s="32"/>
    </row>
    <row r="2791" spans="1:2" x14ac:dyDescent="0.35">
      <c r="A2791" s="32" t="s">
        <v>472</v>
      </c>
      <c r="B2791" s="32"/>
    </row>
    <row r="2792" spans="1:2" x14ac:dyDescent="0.35">
      <c r="A2792" s="32" t="s">
        <v>473</v>
      </c>
      <c r="B2792" s="32"/>
    </row>
    <row r="2793" spans="1:2" x14ac:dyDescent="0.35">
      <c r="A2793" s="32" t="s">
        <v>474</v>
      </c>
      <c r="B2793" s="32"/>
    </row>
    <row r="2794" spans="1:2" x14ac:dyDescent="0.35">
      <c r="A2794" s="32" t="s">
        <v>475</v>
      </c>
      <c r="B2794" s="32"/>
    </row>
    <row r="2795" spans="1:2" x14ac:dyDescent="0.35">
      <c r="A2795" s="32" t="s">
        <v>476</v>
      </c>
      <c r="B2795" s="32"/>
    </row>
    <row r="2796" spans="1:2" x14ac:dyDescent="0.35">
      <c r="A2796" s="32" t="s">
        <v>477</v>
      </c>
      <c r="B2796" s="32"/>
    </row>
    <row r="2797" spans="1:2" x14ac:dyDescent="0.35">
      <c r="A2797" s="32" t="s">
        <v>478</v>
      </c>
      <c r="B2797" s="32"/>
    </row>
    <row r="2798" spans="1:2" x14ac:dyDescent="0.35">
      <c r="A2798" s="32" t="s">
        <v>479</v>
      </c>
      <c r="B2798" s="32"/>
    </row>
    <row r="2799" spans="1:2" x14ac:dyDescent="0.35">
      <c r="A2799" s="32" t="s">
        <v>1701</v>
      </c>
      <c r="B2799" s="32"/>
    </row>
    <row r="2800" spans="1:2" x14ac:dyDescent="0.35">
      <c r="A2800" s="32" t="s">
        <v>480</v>
      </c>
      <c r="B2800" s="32"/>
    </row>
    <row r="2801" spans="1:2" x14ac:dyDescent="0.35">
      <c r="A2801" s="32" t="s">
        <v>1702</v>
      </c>
      <c r="B2801" s="32"/>
    </row>
    <row r="2802" spans="1:2" x14ac:dyDescent="0.35">
      <c r="A2802" s="32" t="s">
        <v>481</v>
      </c>
      <c r="B2802" s="32"/>
    </row>
    <row r="2803" spans="1:2" x14ac:dyDescent="0.35">
      <c r="A2803" s="32" t="s">
        <v>482</v>
      </c>
      <c r="B2803" s="32"/>
    </row>
    <row r="2804" spans="1:2" x14ac:dyDescent="0.35">
      <c r="A2804" s="32" t="s">
        <v>483</v>
      </c>
      <c r="B2804" s="32"/>
    </row>
    <row r="2805" spans="1:2" x14ac:dyDescent="0.35">
      <c r="A2805" s="32" t="s">
        <v>484</v>
      </c>
      <c r="B2805" s="32"/>
    </row>
    <row r="2806" spans="1:2" x14ac:dyDescent="0.35">
      <c r="A2806" s="32" t="s">
        <v>485</v>
      </c>
      <c r="B2806" s="32"/>
    </row>
    <row r="2807" spans="1:2" x14ac:dyDescent="0.35">
      <c r="A2807" s="32" t="s">
        <v>486</v>
      </c>
      <c r="B2807" s="32"/>
    </row>
    <row r="2808" spans="1:2" x14ac:dyDescent="0.35">
      <c r="A2808" s="32" t="s">
        <v>487</v>
      </c>
      <c r="B2808" s="32"/>
    </row>
    <row r="2809" spans="1:2" x14ac:dyDescent="0.35">
      <c r="A2809" s="32" t="s">
        <v>488</v>
      </c>
      <c r="B2809" s="32"/>
    </row>
    <row r="2810" spans="1:2" x14ac:dyDescent="0.35">
      <c r="A2810" s="32" t="s">
        <v>489</v>
      </c>
      <c r="B2810" s="32"/>
    </row>
    <row r="2811" spans="1:2" x14ac:dyDescent="0.35">
      <c r="A2811" s="32" t="s">
        <v>490</v>
      </c>
      <c r="B2811" s="32"/>
    </row>
    <row r="2812" spans="1:2" x14ac:dyDescent="0.35">
      <c r="A2812" s="32" t="s">
        <v>491</v>
      </c>
      <c r="B2812" s="32"/>
    </row>
    <row r="2813" spans="1:2" x14ac:dyDescent="0.35">
      <c r="A2813" s="32" t="s">
        <v>1703</v>
      </c>
      <c r="B2813" s="32"/>
    </row>
    <row r="2814" spans="1:2" x14ac:dyDescent="0.35">
      <c r="A2814" s="32" t="s">
        <v>492</v>
      </c>
      <c r="B2814" s="32"/>
    </row>
    <row r="2815" spans="1:2" x14ac:dyDescent="0.35">
      <c r="A2815" s="32" t="s">
        <v>493</v>
      </c>
      <c r="B2815" s="32"/>
    </row>
    <row r="2816" spans="1:2" x14ac:dyDescent="0.35">
      <c r="A2816" s="32" t="s">
        <v>1704</v>
      </c>
      <c r="B2816" s="32"/>
    </row>
    <row r="2817" spans="1:2" x14ac:dyDescent="0.35">
      <c r="A2817" s="32" t="s">
        <v>495</v>
      </c>
      <c r="B2817" s="32"/>
    </row>
    <row r="2818" spans="1:2" x14ac:dyDescent="0.35">
      <c r="A2818" s="32" t="s">
        <v>1705</v>
      </c>
      <c r="B2818" s="32"/>
    </row>
    <row r="2819" spans="1:2" x14ac:dyDescent="0.35">
      <c r="A2819" s="32" t="s">
        <v>497</v>
      </c>
      <c r="B2819" s="32"/>
    </row>
    <row r="2820" spans="1:2" x14ac:dyDescent="0.35">
      <c r="A2820" s="32" t="s">
        <v>498</v>
      </c>
      <c r="B2820" s="32"/>
    </row>
    <row r="2821" spans="1:2" x14ac:dyDescent="0.35">
      <c r="A2821" s="32" t="s">
        <v>499</v>
      </c>
      <c r="B2821" s="32"/>
    </row>
    <row r="2822" spans="1:2" x14ac:dyDescent="0.35">
      <c r="A2822" s="32" t="s">
        <v>500</v>
      </c>
      <c r="B2822" s="32"/>
    </row>
    <row r="2823" spans="1:2" x14ac:dyDescent="0.35">
      <c r="A2823" s="32" t="s">
        <v>501</v>
      </c>
      <c r="B2823" s="32"/>
    </row>
    <row r="2824" spans="1:2" x14ac:dyDescent="0.35">
      <c r="A2824" s="32" t="s">
        <v>502</v>
      </c>
      <c r="B2824" s="32"/>
    </row>
    <row r="2825" spans="1:2" x14ac:dyDescent="0.35">
      <c r="A2825" s="32" t="s">
        <v>503</v>
      </c>
      <c r="B2825" s="32"/>
    </row>
    <row r="2826" spans="1:2" x14ac:dyDescent="0.35">
      <c r="A2826" s="32" t="s">
        <v>504</v>
      </c>
      <c r="B2826" s="32"/>
    </row>
    <row r="2827" spans="1:2" x14ac:dyDescent="0.35">
      <c r="A2827" s="32" t="s">
        <v>505</v>
      </c>
      <c r="B2827" s="32"/>
    </row>
    <row r="2828" spans="1:2" x14ac:dyDescent="0.35">
      <c r="A2828" s="32" t="s">
        <v>506</v>
      </c>
      <c r="B2828" s="32"/>
    </row>
    <row r="2829" spans="1:2" x14ac:dyDescent="0.35">
      <c r="A2829" s="32" t="s">
        <v>507</v>
      </c>
      <c r="B2829" s="32"/>
    </row>
    <row r="2830" spans="1:2" x14ac:dyDescent="0.35">
      <c r="A2830" s="32" t="s">
        <v>508</v>
      </c>
      <c r="B2830" s="32"/>
    </row>
    <row r="2831" spans="1:2" x14ac:dyDescent="0.35">
      <c r="A2831" s="32" t="s">
        <v>509</v>
      </c>
      <c r="B2831" s="32"/>
    </row>
    <row r="2832" spans="1:2" x14ac:dyDescent="0.35">
      <c r="A2832" s="32" t="s">
        <v>1706</v>
      </c>
      <c r="B2832" s="32"/>
    </row>
    <row r="2833" spans="1:2" x14ac:dyDescent="0.35">
      <c r="A2833" s="32" t="s">
        <v>510</v>
      </c>
      <c r="B2833" s="32"/>
    </row>
    <row r="2834" spans="1:2" x14ac:dyDescent="0.35">
      <c r="A2834" s="32" t="s">
        <v>511</v>
      </c>
      <c r="B2834" s="32"/>
    </row>
    <row r="2835" spans="1:2" x14ac:dyDescent="0.35">
      <c r="A2835" s="32" t="s">
        <v>512</v>
      </c>
      <c r="B2835" s="32"/>
    </row>
    <row r="2836" spans="1:2" x14ac:dyDescent="0.35">
      <c r="A2836" s="32" t="s">
        <v>1707</v>
      </c>
      <c r="B2836" s="32"/>
    </row>
    <row r="2837" spans="1:2" x14ac:dyDescent="0.35">
      <c r="A2837" s="32" t="s">
        <v>1708</v>
      </c>
      <c r="B2837" s="32"/>
    </row>
    <row r="2838" spans="1:2" x14ac:dyDescent="0.35">
      <c r="A2838" s="32" t="s">
        <v>514</v>
      </c>
      <c r="B2838" s="32"/>
    </row>
    <row r="2839" spans="1:2" x14ac:dyDescent="0.35">
      <c r="A2839" s="32" t="s">
        <v>1709</v>
      </c>
      <c r="B2839" s="32"/>
    </row>
    <row r="2840" spans="1:2" x14ac:dyDescent="0.35">
      <c r="A2840" s="32" t="s">
        <v>1710</v>
      </c>
      <c r="B2840" s="32"/>
    </row>
    <row r="2841" spans="1:2" x14ac:dyDescent="0.35">
      <c r="A2841" s="32" t="s">
        <v>1711</v>
      </c>
      <c r="B2841" s="32"/>
    </row>
    <row r="2842" spans="1:2" x14ac:dyDescent="0.35">
      <c r="A2842" s="32" t="s">
        <v>515</v>
      </c>
      <c r="B2842" s="32"/>
    </row>
    <row r="2843" spans="1:2" x14ac:dyDescent="0.35">
      <c r="A2843" s="32" t="s">
        <v>516</v>
      </c>
      <c r="B2843" s="32"/>
    </row>
    <row r="2844" spans="1:2" x14ac:dyDescent="0.35">
      <c r="A2844" s="32" t="s">
        <v>517</v>
      </c>
      <c r="B2844" s="32"/>
    </row>
    <row r="2845" spans="1:2" x14ac:dyDescent="0.35">
      <c r="A2845" s="32" t="s">
        <v>518</v>
      </c>
      <c r="B2845" s="32"/>
    </row>
    <row r="2846" spans="1:2" x14ac:dyDescent="0.35">
      <c r="A2846" s="32" t="s">
        <v>519</v>
      </c>
      <c r="B2846" s="32"/>
    </row>
    <row r="2847" spans="1:2" x14ac:dyDescent="0.35">
      <c r="A2847" s="32" t="s">
        <v>1712</v>
      </c>
      <c r="B2847" s="32"/>
    </row>
    <row r="2848" spans="1:2" x14ac:dyDescent="0.35">
      <c r="A2848" s="32" t="s">
        <v>1713</v>
      </c>
      <c r="B2848" s="32"/>
    </row>
    <row r="2849" spans="1:2" x14ac:dyDescent="0.35">
      <c r="A2849" s="32" t="s">
        <v>521</v>
      </c>
      <c r="B2849" s="32"/>
    </row>
    <row r="2850" spans="1:2" x14ac:dyDescent="0.35">
      <c r="A2850" s="32" t="s">
        <v>1714</v>
      </c>
      <c r="B2850" s="32"/>
    </row>
    <row r="2851" spans="1:2" x14ac:dyDescent="0.35">
      <c r="A2851" s="32" t="s">
        <v>522</v>
      </c>
      <c r="B2851" s="32"/>
    </row>
    <row r="2852" spans="1:2" x14ac:dyDescent="0.35">
      <c r="A2852" s="32" t="s">
        <v>1715</v>
      </c>
      <c r="B2852" s="32"/>
    </row>
    <row r="2853" spans="1:2" x14ac:dyDescent="0.35">
      <c r="A2853" s="32" t="s">
        <v>1716</v>
      </c>
      <c r="B2853" s="32"/>
    </row>
    <row r="2854" spans="1:2" x14ac:dyDescent="0.35">
      <c r="A2854" s="32" t="s">
        <v>524</v>
      </c>
      <c r="B2854" s="32"/>
    </row>
    <row r="2855" spans="1:2" x14ac:dyDescent="0.35">
      <c r="A2855" s="32" t="s">
        <v>525</v>
      </c>
      <c r="B2855" s="32"/>
    </row>
    <row r="2856" spans="1:2" x14ac:dyDescent="0.35">
      <c r="A2856" s="32" t="s">
        <v>526</v>
      </c>
      <c r="B2856" s="32"/>
    </row>
    <row r="2857" spans="1:2" x14ac:dyDescent="0.35">
      <c r="A2857" s="32" t="s">
        <v>527</v>
      </c>
      <c r="B2857" s="32"/>
    </row>
    <row r="2858" spans="1:2" x14ac:dyDescent="0.35">
      <c r="A2858" s="32" t="s">
        <v>528</v>
      </c>
      <c r="B2858" s="32"/>
    </row>
    <row r="2859" spans="1:2" x14ac:dyDescent="0.35">
      <c r="A2859" s="32" t="s">
        <v>529</v>
      </c>
      <c r="B2859" s="32"/>
    </row>
    <row r="2860" spans="1:2" x14ac:dyDescent="0.35">
      <c r="A2860" s="32" t="s">
        <v>530</v>
      </c>
      <c r="B2860" s="32"/>
    </row>
    <row r="2861" spans="1:2" x14ac:dyDescent="0.35">
      <c r="A2861" s="32" t="s">
        <v>531</v>
      </c>
      <c r="B2861" s="32"/>
    </row>
    <row r="2862" spans="1:2" x14ac:dyDescent="0.35">
      <c r="A2862" s="32" t="s">
        <v>532</v>
      </c>
      <c r="B2862" s="32"/>
    </row>
    <row r="2863" spans="1:2" x14ac:dyDescent="0.35">
      <c r="A2863" s="32" t="s">
        <v>533</v>
      </c>
      <c r="B2863" s="32"/>
    </row>
    <row r="2864" spans="1:2" x14ac:dyDescent="0.35">
      <c r="A2864" s="32" t="s">
        <v>534</v>
      </c>
      <c r="B2864" s="32"/>
    </row>
    <row r="2865" spans="1:2" x14ac:dyDescent="0.35">
      <c r="A2865" s="32" t="s">
        <v>535</v>
      </c>
      <c r="B2865" s="32"/>
    </row>
    <row r="2866" spans="1:2" x14ac:dyDescent="0.35">
      <c r="A2866" s="32" t="s">
        <v>536</v>
      </c>
      <c r="B2866" s="32"/>
    </row>
    <row r="2867" spans="1:2" x14ac:dyDescent="0.35">
      <c r="A2867" s="32" t="s">
        <v>537</v>
      </c>
      <c r="B2867" s="32"/>
    </row>
    <row r="2868" spans="1:2" x14ac:dyDescent="0.35">
      <c r="A2868" s="32" t="s">
        <v>538</v>
      </c>
      <c r="B2868" s="32"/>
    </row>
    <row r="2869" spans="1:2" x14ac:dyDescent="0.35">
      <c r="A2869" s="32" t="s">
        <v>539</v>
      </c>
      <c r="B2869" s="32"/>
    </row>
    <row r="2870" spans="1:2" x14ac:dyDescent="0.35">
      <c r="A2870" s="32" t="s">
        <v>540</v>
      </c>
      <c r="B2870" s="32"/>
    </row>
    <row r="2871" spans="1:2" x14ac:dyDescent="0.35">
      <c r="A2871" s="32" t="s">
        <v>541</v>
      </c>
      <c r="B2871" s="32"/>
    </row>
    <row r="2872" spans="1:2" x14ac:dyDescent="0.35">
      <c r="A2872" s="32" t="s">
        <v>542</v>
      </c>
      <c r="B2872" s="32"/>
    </row>
    <row r="2873" spans="1:2" x14ac:dyDescent="0.35">
      <c r="A2873" s="32" t="s">
        <v>543</v>
      </c>
      <c r="B2873" s="32"/>
    </row>
    <row r="2874" spans="1:2" x14ac:dyDescent="0.35">
      <c r="A2874" s="32" t="s">
        <v>544</v>
      </c>
      <c r="B2874" s="32"/>
    </row>
    <row r="2875" spans="1:2" x14ac:dyDescent="0.35">
      <c r="A2875" s="32" t="s">
        <v>545</v>
      </c>
      <c r="B2875" s="32"/>
    </row>
    <row r="2876" spans="1:2" x14ac:dyDescent="0.35">
      <c r="A2876" s="32" t="s">
        <v>546</v>
      </c>
      <c r="B2876" s="32"/>
    </row>
    <row r="2877" spans="1:2" x14ac:dyDescent="0.35">
      <c r="A2877" s="32" t="s">
        <v>547</v>
      </c>
      <c r="B2877" s="32"/>
    </row>
    <row r="2878" spans="1:2" x14ac:dyDescent="0.35">
      <c r="A2878" s="32" t="s">
        <v>548</v>
      </c>
      <c r="B2878" s="32"/>
    </row>
    <row r="2879" spans="1:2" x14ac:dyDescent="0.35">
      <c r="A2879" s="32" t="s">
        <v>549</v>
      </c>
      <c r="B2879" s="32"/>
    </row>
    <row r="2880" spans="1:2" x14ac:dyDescent="0.35">
      <c r="A2880" s="32" t="s">
        <v>550</v>
      </c>
      <c r="B2880" s="32"/>
    </row>
    <row r="2881" spans="1:2" x14ac:dyDescent="0.35">
      <c r="A2881" s="32" t="s">
        <v>551</v>
      </c>
      <c r="B2881" s="32"/>
    </row>
    <row r="2882" spans="1:2" x14ac:dyDescent="0.35">
      <c r="A2882" s="32" t="s">
        <v>552</v>
      </c>
      <c r="B2882" s="32"/>
    </row>
    <row r="2883" spans="1:2" x14ac:dyDescent="0.35">
      <c r="A2883" s="32" t="s">
        <v>553</v>
      </c>
      <c r="B2883" s="32"/>
    </row>
    <row r="2884" spans="1:2" x14ac:dyDescent="0.35">
      <c r="A2884" s="32" t="s">
        <v>554</v>
      </c>
      <c r="B2884" s="32"/>
    </row>
    <row r="2885" spans="1:2" x14ac:dyDescent="0.35">
      <c r="A2885" s="32" t="s">
        <v>555</v>
      </c>
      <c r="B2885" s="32"/>
    </row>
    <row r="2886" spans="1:2" x14ac:dyDescent="0.35">
      <c r="A2886" s="32" t="s">
        <v>556</v>
      </c>
      <c r="B2886" s="32"/>
    </row>
    <row r="2887" spans="1:2" x14ac:dyDescent="0.35">
      <c r="A2887" s="32" t="s">
        <v>557</v>
      </c>
      <c r="B2887" s="32"/>
    </row>
    <row r="2888" spans="1:2" x14ac:dyDescent="0.35">
      <c r="A2888" s="32" t="s">
        <v>558</v>
      </c>
      <c r="B2888" s="32"/>
    </row>
    <row r="2889" spans="1:2" x14ac:dyDescent="0.35">
      <c r="A2889" s="32" t="s">
        <v>559</v>
      </c>
      <c r="B2889" s="32"/>
    </row>
    <row r="2890" spans="1:2" x14ac:dyDescent="0.35">
      <c r="A2890" s="32" t="s">
        <v>560</v>
      </c>
      <c r="B2890" s="32"/>
    </row>
    <row r="2891" spans="1:2" x14ac:dyDescent="0.35">
      <c r="A2891" s="32" t="s">
        <v>561</v>
      </c>
      <c r="B2891" s="32"/>
    </row>
    <row r="2892" spans="1:2" x14ac:dyDescent="0.35">
      <c r="A2892" s="32" t="s">
        <v>562</v>
      </c>
      <c r="B2892" s="32"/>
    </row>
    <row r="2893" spans="1:2" x14ac:dyDescent="0.35">
      <c r="A2893" s="32" t="s">
        <v>563</v>
      </c>
      <c r="B2893" s="32"/>
    </row>
    <row r="2894" spans="1:2" x14ac:dyDescent="0.35">
      <c r="A2894" s="32" t="s">
        <v>564</v>
      </c>
      <c r="B2894" s="32"/>
    </row>
    <row r="2895" spans="1:2" x14ac:dyDescent="0.35">
      <c r="A2895" s="32" t="s">
        <v>565</v>
      </c>
      <c r="B2895" s="32"/>
    </row>
    <row r="2896" spans="1:2" x14ac:dyDescent="0.35">
      <c r="A2896" s="32" t="s">
        <v>566</v>
      </c>
      <c r="B2896" s="32"/>
    </row>
    <row r="2897" spans="1:2" x14ac:dyDescent="0.35">
      <c r="A2897" s="32" t="s">
        <v>567</v>
      </c>
      <c r="B2897" s="32"/>
    </row>
    <row r="2898" spans="1:2" x14ac:dyDescent="0.35">
      <c r="A2898" s="32" t="s">
        <v>568</v>
      </c>
      <c r="B2898" s="32"/>
    </row>
    <row r="2899" spans="1:2" x14ac:dyDescent="0.35">
      <c r="A2899" s="32" t="s">
        <v>569</v>
      </c>
      <c r="B2899" s="32"/>
    </row>
    <row r="2900" spans="1:2" x14ac:dyDescent="0.35">
      <c r="A2900" s="32" t="s">
        <v>570</v>
      </c>
      <c r="B2900" s="32"/>
    </row>
    <row r="2901" spans="1:2" x14ac:dyDescent="0.35">
      <c r="A2901" s="32" t="s">
        <v>571</v>
      </c>
      <c r="B2901" s="32"/>
    </row>
    <row r="2902" spans="1:2" x14ac:dyDescent="0.35">
      <c r="A2902" s="32" t="s">
        <v>572</v>
      </c>
      <c r="B2902" s="32"/>
    </row>
    <row r="2903" spans="1:2" x14ac:dyDescent="0.35">
      <c r="A2903" s="32" t="s">
        <v>573</v>
      </c>
      <c r="B2903" s="32"/>
    </row>
    <row r="2904" spans="1:2" x14ac:dyDescent="0.35">
      <c r="A2904" s="32" t="s">
        <v>574</v>
      </c>
      <c r="B2904" s="32"/>
    </row>
    <row r="2905" spans="1:2" x14ac:dyDescent="0.35">
      <c r="A2905" s="32" t="s">
        <v>575</v>
      </c>
      <c r="B2905" s="32"/>
    </row>
    <row r="2906" spans="1:2" x14ac:dyDescent="0.35">
      <c r="A2906" s="32" t="s">
        <v>576</v>
      </c>
      <c r="B2906" s="32"/>
    </row>
    <row r="2907" spans="1:2" x14ac:dyDescent="0.35">
      <c r="A2907" s="32" t="s">
        <v>577</v>
      </c>
      <c r="B2907" s="32"/>
    </row>
    <row r="2908" spans="1:2" x14ac:dyDescent="0.35">
      <c r="A2908" s="32" t="s">
        <v>578</v>
      </c>
      <c r="B2908" s="32"/>
    </row>
    <row r="2909" spans="1:2" x14ac:dyDescent="0.35">
      <c r="A2909" s="32" t="s">
        <v>579</v>
      </c>
      <c r="B2909" s="32"/>
    </row>
    <row r="2910" spans="1:2" x14ac:dyDescent="0.35">
      <c r="A2910" s="32" t="s">
        <v>580</v>
      </c>
      <c r="B2910" s="32"/>
    </row>
    <row r="2911" spans="1:2" x14ac:dyDescent="0.35">
      <c r="A2911" s="32" t="s">
        <v>581</v>
      </c>
      <c r="B2911" s="32"/>
    </row>
    <row r="2912" spans="1:2" x14ac:dyDescent="0.35">
      <c r="A2912" s="32" t="s">
        <v>582</v>
      </c>
      <c r="B2912" s="32"/>
    </row>
    <row r="2913" spans="1:2" x14ac:dyDescent="0.35">
      <c r="A2913" s="32" t="s">
        <v>583</v>
      </c>
      <c r="B2913" s="32"/>
    </row>
    <row r="2914" spans="1:2" x14ac:dyDescent="0.35">
      <c r="A2914" s="32" t="s">
        <v>584</v>
      </c>
      <c r="B2914" s="32"/>
    </row>
    <row r="2915" spans="1:2" x14ac:dyDescent="0.35">
      <c r="A2915" s="32" t="s">
        <v>585</v>
      </c>
      <c r="B2915" s="32"/>
    </row>
    <row r="2916" spans="1:2" x14ac:dyDescent="0.35">
      <c r="A2916" s="32" t="s">
        <v>586</v>
      </c>
      <c r="B2916" s="32"/>
    </row>
    <row r="2917" spans="1:2" x14ac:dyDescent="0.35">
      <c r="A2917" s="32" t="s">
        <v>587</v>
      </c>
      <c r="B2917" s="32"/>
    </row>
    <row r="2918" spans="1:2" x14ac:dyDescent="0.35">
      <c r="A2918" s="32" t="s">
        <v>588</v>
      </c>
      <c r="B2918" s="32"/>
    </row>
    <row r="2919" spans="1:2" x14ac:dyDescent="0.35">
      <c r="A2919" s="32" t="s">
        <v>589</v>
      </c>
      <c r="B2919" s="32"/>
    </row>
    <row r="2920" spans="1:2" x14ac:dyDescent="0.35">
      <c r="A2920" s="32" t="s">
        <v>590</v>
      </c>
      <c r="B2920" s="32"/>
    </row>
    <row r="2921" spans="1:2" x14ac:dyDescent="0.35">
      <c r="A2921" s="32" t="s">
        <v>591</v>
      </c>
      <c r="B2921" s="32"/>
    </row>
    <row r="2922" spans="1:2" x14ac:dyDescent="0.35">
      <c r="A2922" s="32" t="s">
        <v>592</v>
      </c>
      <c r="B2922" s="32"/>
    </row>
    <row r="2923" spans="1:2" x14ac:dyDescent="0.35">
      <c r="A2923" s="32" t="s">
        <v>593</v>
      </c>
      <c r="B2923" s="32"/>
    </row>
    <row r="2924" spans="1:2" x14ac:dyDescent="0.35">
      <c r="A2924" s="32" t="s">
        <v>594</v>
      </c>
      <c r="B2924" s="32"/>
    </row>
    <row r="2925" spans="1:2" x14ac:dyDescent="0.35">
      <c r="A2925" s="32" t="s">
        <v>595</v>
      </c>
      <c r="B2925" s="32"/>
    </row>
    <row r="2926" spans="1:2" x14ac:dyDescent="0.35">
      <c r="A2926" s="32" t="s">
        <v>596</v>
      </c>
      <c r="B2926" s="32"/>
    </row>
    <row r="2927" spans="1:2" x14ac:dyDescent="0.35">
      <c r="A2927" s="32" t="s">
        <v>597</v>
      </c>
      <c r="B2927" s="32"/>
    </row>
    <row r="2928" spans="1:2" x14ac:dyDescent="0.35">
      <c r="A2928" s="32" t="s">
        <v>598</v>
      </c>
      <c r="B2928" s="32"/>
    </row>
    <row r="2929" spans="1:2" x14ac:dyDescent="0.35">
      <c r="A2929" s="32" t="s">
        <v>599</v>
      </c>
      <c r="B2929" s="32"/>
    </row>
    <row r="2930" spans="1:2" x14ac:dyDescent="0.35">
      <c r="A2930" s="32" t="s">
        <v>600</v>
      </c>
      <c r="B2930" s="32"/>
    </row>
    <row r="2931" spans="1:2" x14ac:dyDescent="0.35">
      <c r="A2931" s="32" t="s">
        <v>601</v>
      </c>
      <c r="B2931" s="32"/>
    </row>
    <row r="2932" spans="1:2" x14ac:dyDescent="0.35">
      <c r="A2932" s="32" t="s">
        <v>602</v>
      </c>
      <c r="B2932" s="32"/>
    </row>
    <row r="2933" spans="1:2" x14ac:dyDescent="0.35">
      <c r="A2933" s="32" t="s">
        <v>603</v>
      </c>
      <c r="B2933" s="32"/>
    </row>
    <row r="2934" spans="1:2" x14ac:dyDescent="0.35">
      <c r="A2934" s="32" t="s">
        <v>604</v>
      </c>
      <c r="B2934" s="32"/>
    </row>
    <row r="2935" spans="1:2" x14ac:dyDescent="0.35">
      <c r="A2935" s="32" t="s">
        <v>605</v>
      </c>
      <c r="B2935" s="32"/>
    </row>
    <row r="2936" spans="1:2" x14ac:dyDescent="0.35">
      <c r="A2936" s="32" t="s">
        <v>606</v>
      </c>
      <c r="B2936" s="32"/>
    </row>
    <row r="2937" spans="1:2" x14ac:dyDescent="0.35">
      <c r="A2937" s="32" t="s">
        <v>607</v>
      </c>
      <c r="B2937" s="32"/>
    </row>
    <row r="2938" spans="1:2" x14ac:dyDescent="0.35">
      <c r="A2938" s="32" t="s">
        <v>608</v>
      </c>
      <c r="B2938" s="32"/>
    </row>
    <row r="2939" spans="1:2" x14ac:dyDescent="0.35">
      <c r="A2939" s="32" t="s">
        <v>609</v>
      </c>
      <c r="B2939" s="32"/>
    </row>
    <row r="2940" spans="1:2" x14ac:dyDescent="0.35">
      <c r="A2940" s="32" t="s">
        <v>610</v>
      </c>
      <c r="B2940" s="32"/>
    </row>
    <row r="2941" spans="1:2" x14ac:dyDescent="0.35">
      <c r="A2941" s="32" t="s">
        <v>611</v>
      </c>
      <c r="B2941" s="32"/>
    </row>
    <row r="2942" spans="1:2" x14ac:dyDescent="0.35">
      <c r="A2942" s="32" t="s">
        <v>612</v>
      </c>
      <c r="B2942" s="32"/>
    </row>
    <row r="2943" spans="1:2" x14ac:dyDescent="0.35">
      <c r="A2943" s="32" t="s">
        <v>613</v>
      </c>
      <c r="B2943" s="32"/>
    </row>
    <row r="2944" spans="1:2" x14ac:dyDescent="0.35">
      <c r="A2944" s="32" t="s">
        <v>614</v>
      </c>
      <c r="B2944" s="32"/>
    </row>
    <row r="2945" spans="1:2" x14ac:dyDescent="0.35">
      <c r="A2945" s="32" t="s">
        <v>615</v>
      </c>
      <c r="B2945" s="32"/>
    </row>
    <row r="2946" spans="1:2" x14ac:dyDescent="0.35">
      <c r="A2946" s="32" t="s">
        <v>616</v>
      </c>
      <c r="B2946" s="32"/>
    </row>
    <row r="2947" spans="1:2" x14ac:dyDescent="0.35">
      <c r="A2947" s="32" t="s">
        <v>617</v>
      </c>
      <c r="B2947" s="32"/>
    </row>
    <row r="2948" spans="1:2" x14ac:dyDescent="0.35">
      <c r="A2948" s="32" t="s">
        <v>618</v>
      </c>
      <c r="B2948" s="32"/>
    </row>
    <row r="2949" spans="1:2" x14ac:dyDescent="0.35">
      <c r="A2949" s="32" t="s">
        <v>619</v>
      </c>
      <c r="B2949" s="32"/>
    </row>
    <row r="2950" spans="1:2" x14ac:dyDescent="0.35">
      <c r="A2950" s="32" t="s">
        <v>620</v>
      </c>
      <c r="B2950" s="32"/>
    </row>
    <row r="2951" spans="1:2" x14ac:dyDescent="0.35">
      <c r="A2951" s="32" t="s">
        <v>621</v>
      </c>
      <c r="B2951" s="32"/>
    </row>
    <row r="2952" spans="1:2" x14ac:dyDescent="0.35">
      <c r="A2952" s="32" t="s">
        <v>1717</v>
      </c>
      <c r="B2952" s="32"/>
    </row>
    <row r="2953" spans="1:2" x14ac:dyDescent="0.35">
      <c r="A2953" s="32" t="s">
        <v>1718</v>
      </c>
      <c r="B2953" s="32"/>
    </row>
    <row r="2954" spans="1:2" x14ac:dyDescent="0.35">
      <c r="A2954" s="32" t="s">
        <v>623</v>
      </c>
      <c r="B2954" s="32"/>
    </row>
    <row r="2955" spans="1:2" x14ac:dyDescent="0.35">
      <c r="A2955" s="32" t="s">
        <v>624</v>
      </c>
      <c r="B2955" s="32"/>
    </row>
    <row r="2956" spans="1:2" x14ac:dyDescent="0.35">
      <c r="A2956" s="32" t="s">
        <v>625</v>
      </c>
      <c r="B2956" s="32"/>
    </row>
    <row r="2957" spans="1:2" x14ac:dyDescent="0.35">
      <c r="A2957" s="32" t="s">
        <v>626</v>
      </c>
      <c r="B2957" s="32"/>
    </row>
    <row r="2958" spans="1:2" x14ac:dyDescent="0.35">
      <c r="A2958" s="32" t="s">
        <v>627</v>
      </c>
      <c r="B2958" s="32"/>
    </row>
    <row r="2959" spans="1:2" x14ac:dyDescent="0.35">
      <c r="A2959" s="32" t="s">
        <v>628</v>
      </c>
      <c r="B2959" s="32"/>
    </row>
    <row r="2960" spans="1:2" x14ac:dyDescent="0.35">
      <c r="A2960" s="32" t="s">
        <v>629</v>
      </c>
      <c r="B2960" s="32"/>
    </row>
    <row r="2961" spans="1:2" x14ac:dyDescent="0.35">
      <c r="A2961" s="32" t="s">
        <v>630</v>
      </c>
      <c r="B2961" s="32"/>
    </row>
    <row r="2962" spans="1:2" x14ac:dyDescent="0.35">
      <c r="A2962" s="32" t="s">
        <v>631</v>
      </c>
      <c r="B2962" s="32"/>
    </row>
    <row r="2963" spans="1:2" x14ac:dyDescent="0.35">
      <c r="A2963" s="32" t="s">
        <v>632</v>
      </c>
      <c r="B2963" s="32"/>
    </row>
    <row r="2964" spans="1:2" x14ac:dyDescent="0.35">
      <c r="A2964" s="32" t="s">
        <v>633</v>
      </c>
      <c r="B2964" s="32"/>
    </row>
    <row r="2965" spans="1:2" x14ac:dyDescent="0.35">
      <c r="A2965" s="32" t="s">
        <v>634</v>
      </c>
      <c r="B2965" s="32"/>
    </row>
    <row r="2966" spans="1:2" x14ac:dyDescent="0.35">
      <c r="A2966" s="32" t="s">
        <v>635</v>
      </c>
      <c r="B2966" s="32"/>
    </row>
    <row r="2967" spans="1:2" x14ac:dyDescent="0.35">
      <c r="A2967" s="32" t="s">
        <v>636</v>
      </c>
      <c r="B2967" s="32"/>
    </row>
    <row r="2968" spans="1:2" x14ac:dyDescent="0.35">
      <c r="A2968" s="32" t="s">
        <v>637</v>
      </c>
      <c r="B2968" s="32"/>
    </row>
    <row r="2969" spans="1:2" x14ac:dyDescent="0.35">
      <c r="A2969" s="32" t="s">
        <v>638</v>
      </c>
      <c r="B2969" s="32"/>
    </row>
    <row r="2970" spans="1:2" x14ac:dyDescent="0.35">
      <c r="A2970" s="32" t="s">
        <v>639</v>
      </c>
      <c r="B2970" s="32"/>
    </row>
    <row r="2971" spans="1:2" x14ac:dyDescent="0.35">
      <c r="A2971" s="32" t="s">
        <v>640</v>
      </c>
      <c r="B2971" s="32"/>
    </row>
    <row r="2972" spans="1:2" x14ac:dyDescent="0.35">
      <c r="A2972" s="32" t="s">
        <v>641</v>
      </c>
      <c r="B2972" s="32"/>
    </row>
    <row r="2973" spans="1:2" x14ac:dyDescent="0.35">
      <c r="A2973" s="32" t="s">
        <v>642</v>
      </c>
      <c r="B2973" s="32"/>
    </row>
    <row r="2974" spans="1:2" x14ac:dyDescent="0.35">
      <c r="A2974" s="32" t="s">
        <v>643</v>
      </c>
      <c r="B2974" s="32"/>
    </row>
    <row r="2975" spans="1:2" x14ac:dyDescent="0.35">
      <c r="A2975" s="32" t="s">
        <v>644</v>
      </c>
      <c r="B2975" s="32"/>
    </row>
    <row r="2976" spans="1:2" x14ac:dyDescent="0.35">
      <c r="A2976" s="32" t="s">
        <v>645</v>
      </c>
      <c r="B2976" s="32"/>
    </row>
    <row r="2977" spans="1:2" x14ac:dyDescent="0.35">
      <c r="A2977" s="32" t="s">
        <v>646</v>
      </c>
      <c r="B2977" s="32"/>
    </row>
    <row r="2978" spans="1:2" x14ac:dyDescent="0.35">
      <c r="A2978" s="32" t="s">
        <v>647</v>
      </c>
      <c r="B2978" s="32"/>
    </row>
    <row r="2979" spans="1:2" x14ac:dyDescent="0.35">
      <c r="A2979" s="32" t="s">
        <v>648</v>
      </c>
      <c r="B2979" s="32"/>
    </row>
    <row r="2980" spans="1:2" x14ac:dyDescent="0.35">
      <c r="A2980" s="32" t="s">
        <v>649</v>
      </c>
      <c r="B2980" s="32"/>
    </row>
    <row r="2981" spans="1:2" x14ac:dyDescent="0.35">
      <c r="A2981" s="32" t="s">
        <v>650</v>
      </c>
      <c r="B2981" s="32"/>
    </row>
    <row r="2982" spans="1:2" x14ac:dyDescent="0.35">
      <c r="A2982" s="32" t="s">
        <v>651</v>
      </c>
      <c r="B2982" s="32"/>
    </row>
    <row r="2983" spans="1:2" x14ac:dyDescent="0.35">
      <c r="A2983" s="32" t="s">
        <v>652</v>
      </c>
      <c r="B2983" s="32"/>
    </row>
    <row r="2984" spans="1:2" x14ac:dyDescent="0.35">
      <c r="A2984" s="32" t="s">
        <v>653</v>
      </c>
      <c r="B2984" s="32"/>
    </row>
    <row r="2985" spans="1:2" x14ac:dyDescent="0.35">
      <c r="A2985" s="32" t="s">
        <v>654</v>
      </c>
      <c r="B2985" s="32"/>
    </row>
    <row r="2986" spans="1:2" x14ac:dyDescent="0.35">
      <c r="A2986" s="32" t="s">
        <v>655</v>
      </c>
      <c r="B2986" s="32"/>
    </row>
    <row r="2987" spans="1:2" x14ac:dyDescent="0.35">
      <c r="A2987" s="32" t="s">
        <v>656</v>
      </c>
      <c r="B2987" s="32"/>
    </row>
    <row r="2988" spans="1:2" x14ac:dyDescent="0.35">
      <c r="A2988" s="32" t="s">
        <v>657</v>
      </c>
      <c r="B2988" s="32"/>
    </row>
    <row r="2989" spans="1:2" x14ac:dyDescent="0.35">
      <c r="A2989" s="32" t="s">
        <v>658</v>
      </c>
      <c r="B2989" s="32"/>
    </row>
    <row r="2990" spans="1:2" x14ac:dyDescent="0.35">
      <c r="A2990" s="32" t="s">
        <v>659</v>
      </c>
      <c r="B2990" s="32"/>
    </row>
    <row r="2991" spans="1:2" x14ac:dyDescent="0.35">
      <c r="A2991" s="32" t="s">
        <v>660</v>
      </c>
      <c r="B2991" s="32"/>
    </row>
    <row r="2992" spans="1:2" x14ac:dyDescent="0.35">
      <c r="A2992" s="32" t="s">
        <v>661</v>
      </c>
      <c r="B2992" s="32"/>
    </row>
    <row r="2993" spans="1:2" x14ac:dyDescent="0.35">
      <c r="A2993" s="32" t="s">
        <v>662</v>
      </c>
      <c r="B2993" s="32"/>
    </row>
    <row r="2994" spans="1:2" x14ac:dyDescent="0.35">
      <c r="A2994" s="32" t="s">
        <v>663</v>
      </c>
      <c r="B2994" s="32"/>
    </row>
    <row r="2995" spans="1:2" x14ac:dyDescent="0.35">
      <c r="A2995" s="32" t="s">
        <v>664</v>
      </c>
      <c r="B2995" s="32"/>
    </row>
    <row r="2996" spans="1:2" x14ac:dyDescent="0.35">
      <c r="A2996" s="32" t="s">
        <v>665</v>
      </c>
      <c r="B2996" s="32"/>
    </row>
    <row r="2997" spans="1:2" x14ac:dyDescent="0.35">
      <c r="A2997" s="32" t="s">
        <v>666</v>
      </c>
      <c r="B2997" s="32"/>
    </row>
    <row r="2998" spans="1:2" x14ac:dyDescent="0.35">
      <c r="A2998" s="32" t="s">
        <v>667</v>
      </c>
      <c r="B2998" s="32"/>
    </row>
    <row r="2999" spans="1:2" x14ac:dyDescent="0.35">
      <c r="A2999" s="32" t="s">
        <v>668</v>
      </c>
      <c r="B2999" s="32"/>
    </row>
    <row r="3000" spans="1:2" x14ac:dyDescent="0.35">
      <c r="A3000" s="32" t="s">
        <v>669</v>
      </c>
      <c r="B3000" s="32"/>
    </row>
    <row r="3001" spans="1:2" x14ac:dyDescent="0.35">
      <c r="A3001" s="32" t="s">
        <v>670</v>
      </c>
      <c r="B3001" s="32"/>
    </row>
    <row r="3002" spans="1:2" x14ac:dyDescent="0.35">
      <c r="A3002" s="32" t="s">
        <v>671</v>
      </c>
      <c r="B3002" s="32"/>
    </row>
    <row r="3003" spans="1:2" x14ac:dyDescent="0.35">
      <c r="A3003" s="32" t="s">
        <v>672</v>
      </c>
      <c r="B3003" s="32"/>
    </row>
    <row r="3004" spans="1:2" x14ac:dyDescent="0.35">
      <c r="A3004" s="32" t="s">
        <v>673</v>
      </c>
      <c r="B3004" s="32"/>
    </row>
    <row r="3005" spans="1:2" x14ac:dyDescent="0.35">
      <c r="A3005" s="32" t="s">
        <v>674</v>
      </c>
      <c r="B3005" s="32"/>
    </row>
    <row r="3006" spans="1:2" x14ac:dyDescent="0.35">
      <c r="A3006" s="32" t="s">
        <v>675</v>
      </c>
      <c r="B3006" s="32"/>
    </row>
    <row r="3007" spans="1:2" x14ac:dyDescent="0.35">
      <c r="A3007" s="32" t="s">
        <v>676</v>
      </c>
      <c r="B3007" s="32"/>
    </row>
    <row r="3008" spans="1:2" x14ac:dyDescent="0.35">
      <c r="A3008" s="32" t="s">
        <v>677</v>
      </c>
      <c r="B3008" s="32"/>
    </row>
    <row r="3009" spans="1:2" x14ac:dyDescent="0.35">
      <c r="A3009" s="32" t="s">
        <v>678</v>
      </c>
      <c r="B3009" s="32"/>
    </row>
    <row r="3010" spans="1:2" x14ac:dyDescent="0.35">
      <c r="A3010" s="32" t="s">
        <v>679</v>
      </c>
      <c r="B3010" s="32"/>
    </row>
    <row r="3011" spans="1:2" x14ac:dyDescent="0.35">
      <c r="A3011" s="32" t="s">
        <v>680</v>
      </c>
      <c r="B3011" s="32"/>
    </row>
    <row r="3012" spans="1:2" x14ac:dyDescent="0.35">
      <c r="A3012" s="32" t="s">
        <v>681</v>
      </c>
      <c r="B3012" s="32"/>
    </row>
    <row r="3013" spans="1:2" x14ac:dyDescent="0.35">
      <c r="A3013" s="32" t="s">
        <v>682</v>
      </c>
      <c r="B3013" s="32"/>
    </row>
    <row r="3014" spans="1:2" x14ac:dyDescent="0.35">
      <c r="A3014" s="32" t="s">
        <v>683</v>
      </c>
      <c r="B3014" s="32"/>
    </row>
    <row r="3015" spans="1:2" x14ac:dyDescent="0.35">
      <c r="A3015" s="32" t="s">
        <v>684</v>
      </c>
      <c r="B3015" s="32"/>
    </row>
    <row r="3016" spans="1:2" x14ac:dyDescent="0.35">
      <c r="A3016" s="32" t="s">
        <v>685</v>
      </c>
      <c r="B3016" s="32"/>
    </row>
    <row r="3017" spans="1:2" x14ac:dyDescent="0.35">
      <c r="A3017" s="32" t="s">
        <v>686</v>
      </c>
      <c r="B3017" s="32"/>
    </row>
    <row r="3018" spans="1:2" x14ac:dyDescent="0.35">
      <c r="A3018" s="32" t="s">
        <v>687</v>
      </c>
      <c r="B3018" s="32"/>
    </row>
    <row r="3019" spans="1:2" x14ac:dyDescent="0.35">
      <c r="A3019" s="32" t="s">
        <v>688</v>
      </c>
      <c r="B3019" s="32"/>
    </row>
    <row r="3020" spans="1:2" x14ac:dyDescent="0.35">
      <c r="A3020" s="32" t="s">
        <v>689</v>
      </c>
      <c r="B3020" s="32"/>
    </row>
    <row r="3021" spans="1:2" x14ac:dyDescent="0.35">
      <c r="A3021" s="32" t="s">
        <v>690</v>
      </c>
      <c r="B3021" s="32"/>
    </row>
    <row r="3022" spans="1:2" x14ac:dyDescent="0.35">
      <c r="A3022" s="32" t="s">
        <v>691</v>
      </c>
      <c r="B3022" s="32"/>
    </row>
    <row r="3023" spans="1:2" x14ac:dyDescent="0.35">
      <c r="A3023" s="32" t="s">
        <v>692</v>
      </c>
      <c r="B3023" s="32"/>
    </row>
    <row r="3024" spans="1:2" x14ac:dyDescent="0.35">
      <c r="A3024" s="32" t="s">
        <v>693</v>
      </c>
      <c r="B3024" s="32"/>
    </row>
    <row r="3025" spans="1:2" x14ac:dyDescent="0.35">
      <c r="A3025" s="32" t="s">
        <v>694</v>
      </c>
      <c r="B3025" s="32"/>
    </row>
    <row r="3026" spans="1:2" x14ac:dyDescent="0.35">
      <c r="A3026" s="32" t="s">
        <v>695</v>
      </c>
      <c r="B3026" s="32"/>
    </row>
    <row r="3027" spans="1:2" x14ac:dyDescent="0.35">
      <c r="A3027" s="32" t="s">
        <v>696</v>
      </c>
      <c r="B3027" s="32"/>
    </row>
    <row r="3028" spans="1:2" x14ac:dyDescent="0.35">
      <c r="A3028" s="32" t="s">
        <v>697</v>
      </c>
      <c r="B3028" s="32"/>
    </row>
    <row r="3029" spans="1:2" x14ac:dyDescent="0.35">
      <c r="A3029" s="32" t="s">
        <v>698</v>
      </c>
      <c r="B3029" s="32"/>
    </row>
    <row r="3030" spans="1:2" x14ac:dyDescent="0.35">
      <c r="A3030" s="32" t="s">
        <v>699</v>
      </c>
      <c r="B3030" s="32"/>
    </row>
    <row r="3031" spans="1:2" x14ac:dyDescent="0.35">
      <c r="A3031" s="32" t="s">
        <v>700</v>
      </c>
      <c r="B3031" s="32"/>
    </row>
    <row r="3032" spans="1:2" x14ac:dyDescent="0.35">
      <c r="A3032" s="32" t="s">
        <v>701</v>
      </c>
      <c r="B3032" s="32"/>
    </row>
    <row r="3033" spans="1:2" x14ac:dyDescent="0.35">
      <c r="A3033" s="32" t="s">
        <v>702</v>
      </c>
      <c r="B3033" s="32"/>
    </row>
    <row r="3034" spans="1:2" x14ac:dyDescent="0.35">
      <c r="A3034" s="32" t="s">
        <v>703</v>
      </c>
      <c r="B3034" s="32"/>
    </row>
    <row r="3035" spans="1:2" x14ac:dyDescent="0.35">
      <c r="A3035" s="32" t="s">
        <v>1719</v>
      </c>
      <c r="B3035" s="32"/>
    </row>
    <row r="3036" spans="1:2" x14ac:dyDescent="0.35">
      <c r="A3036" s="32" t="s">
        <v>1720</v>
      </c>
      <c r="B3036" s="32"/>
    </row>
    <row r="3037" spans="1:2" x14ac:dyDescent="0.35">
      <c r="A3037" s="32" t="s">
        <v>705</v>
      </c>
      <c r="B3037" s="32"/>
    </row>
    <row r="3038" spans="1:2" x14ac:dyDescent="0.35">
      <c r="A3038" s="32" t="s">
        <v>706</v>
      </c>
      <c r="B3038" s="32"/>
    </row>
    <row r="3039" spans="1:2" x14ac:dyDescent="0.35">
      <c r="A3039" s="32" t="s">
        <v>707</v>
      </c>
      <c r="B3039" s="32"/>
    </row>
    <row r="3040" spans="1:2" x14ac:dyDescent="0.35">
      <c r="A3040" s="32" t="s">
        <v>708</v>
      </c>
      <c r="B3040" s="32"/>
    </row>
    <row r="3041" spans="1:2" x14ac:dyDescent="0.35">
      <c r="A3041" s="32" t="s">
        <v>709</v>
      </c>
      <c r="B3041" s="32"/>
    </row>
    <row r="3042" spans="1:2" x14ac:dyDescent="0.35">
      <c r="A3042" s="32" t="s">
        <v>710</v>
      </c>
      <c r="B3042" s="32"/>
    </row>
    <row r="3043" spans="1:2" x14ac:dyDescent="0.35">
      <c r="A3043" s="32" t="s">
        <v>711</v>
      </c>
      <c r="B3043" s="32"/>
    </row>
    <row r="3044" spans="1:2" x14ac:dyDescent="0.35">
      <c r="A3044" s="32" t="s">
        <v>712</v>
      </c>
      <c r="B3044" s="32"/>
    </row>
    <row r="3045" spans="1:2" x14ac:dyDescent="0.35">
      <c r="A3045" s="32" t="s">
        <v>713</v>
      </c>
      <c r="B3045" s="32"/>
    </row>
    <row r="3046" spans="1:2" x14ac:dyDescent="0.35">
      <c r="A3046" s="32" t="s">
        <v>714</v>
      </c>
      <c r="B3046" s="32"/>
    </row>
    <row r="3047" spans="1:2" x14ac:dyDescent="0.35">
      <c r="A3047" s="32" t="s">
        <v>715</v>
      </c>
      <c r="B3047" s="32"/>
    </row>
    <row r="3048" spans="1:2" x14ac:dyDescent="0.35">
      <c r="A3048" s="32" t="s">
        <v>716</v>
      </c>
      <c r="B3048" s="32"/>
    </row>
    <row r="3049" spans="1:2" x14ac:dyDescent="0.35">
      <c r="A3049" s="32" t="s">
        <v>717</v>
      </c>
      <c r="B3049" s="32"/>
    </row>
    <row r="3050" spans="1:2" x14ac:dyDescent="0.35">
      <c r="A3050" s="32" t="s">
        <v>718</v>
      </c>
      <c r="B3050" s="32"/>
    </row>
    <row r="3051" spans="1:2" x14ac:dyDescent="0.35">
      <c r="A3051" s="32" t="s">
        <v>719</v>
      </c>
      <c r="B3051" s="32"/>
    </row>
    <row r="3052" spans="1:2" x14ac:dyDescent="0.35">
      <c r="A3052" s="32" t="s">
        <v>720</v>
      </c>
      <c r="B3052" s="32"/>
    </row>
    <row r="3053" spans="1:2" x14ac:dyDescent="0.35">
      <c r="A3053" s="32" t="s">
        <v>721</v>
      </c>
      <c r="B3053" s="32"/>
    </row>
    <row r="3054" spans="1:2" x14ac:dyDescent="0.35">
      <c r="A3054" s="32" t="s">
        <v>722</v>
      </c>
      <c r="B3054" s="32"/>
    </row>
    <row r="3055" spans="1:2" x14ac:dyDescent="0.35">
      <c r="A3055" s="32" t="s">
        <v>723</v>
      </c>
      <c r="B3055" s="32"/>
    </row>
    <row r="3056" spans="1:2" x14ac:dyDescent="0.35">
      <c r="A3056" s="32" t="s">
        <v>724</v>
      </c>
      <c r="B3056" s="32"/>
    </row>
    <row r="3057" spans="1:2" x14ac:dyDescent="0.35">
      <c r="A3057" s="32" t="s">
        <v>725</v>
      </c>
      <c r="B3057" s="32"/>
    </row>
    <row r="3058" spans="1:2" x14ac:dyDescent="0.35">
      <c r="A3058" s="32" t="s">
        <v>726</v>
      </c>
      <c r="B3058" s="32"/>
    </row>
    <row r="3059" spans="1:2" x14ac:dyDescent="0.35">
      <c r="A3059" s="32" t="s">
        <v>727</v>
      </c>
      <c r="B3059" s="32"/>
    </row>
    <row r="3060" spans="1:2" x14ac:dyDescent="0.35">
      <c r="A3060" s="32" t="s">
        <v>728</v>
      </c>
      <c r="B3060" s="32"/>
    </row>
    <row r="3061" spans="1:2" x14ac:dyDescent="0.35">
      <c r="A3061" s="32" t="s">
        <v>729</v>
      </c>
      <c r="B3061" s="32"/>
    </row>
    <row r="3062" spans="1:2" x14ac:dyDescent="0.35">
      <c r="A3062" s="32" t="s">
        <v>730</v>
      </c>
      <c r="B3062" s="32"/>
    </row>
    <row r="3063" spans="1:2" x14ac:dyDescent="0.35">
      <c r="A3063" s="32" t="s">
        <v>731</v>
      </c>
      <c r="B3063" s="32"/>
    </row>
    <row r="3064" spans="1:2" x14ac:dyDescent="0.35">
      <c r="A3064" s="32" t="s">
        <v>732</v>
      </c>
      <c r="B3064" s="32"/>
    </row>
    <row r="3065" spans="1:2" x14ac:dyDescent="0.35">
      <c r="A3065" s="32" t="s">
        <v>733</v>
      </c>
      <c r="B3065" s="32"/>
    </row>
    <row r="3066" spans="1:2" x14ac:dyDescent="0.35">
      <c r="A3066" s="32" t="s">
        <v>734</v>
      </c>
      <c r="B3066" s="32"/>
    </row>
    <row r="3067" spans="1:2" x14ac:dyDescent="0.35">
      <c r="A3067" s="32" t="s">
        <v>735</v>
      </c>
      <c r="B3067" s="32"/>
    </row>
    <row r="3068" spans="1:2" x14ac:dyDescent="0.35">
      <c r="A3068" s="32" t="s">
        <v>736</v>
      </c>
      <c r="B3068" s="32"/>
    </row>
    <row r="3069" spans="1:2" x14ac:dyDescent="0.35">
      <c r="A3069" s="32" t="s">
        <v>737</v>
      </c>
      <c r="B3069" s="32"/>
    </row>
    <row r="3070" spans="1:2" x14ac:dyDescent="0.35">
      <c r="A3070" s="32" t="s">
        <v>738</v>
      </c>
      <c r="B3070" s="32"/>
    </row>
    <row r="3071" spans="1:2" x14ac:dyDescent="0.35">
      <c r="A3071" s="32" t="s">
        <v>739</v>
      </c>
      <c r="B3071" s="32"/>
    </row>
    <row r="3072" spans="1:2" x14ac:dyDescent="0.35">
      <c r="A3072" s="32" t="s">
        <v>740</v>
      </c>
      <c r="B3072" s="32"/>
    </row>
    <row r="3073" spans="1:2" x14ac:dyDescent="0.35">
      <c r="A3073" s="32" t="s">
        <v>741</v>
      </c>
      <c r="B3073" s="32"/>
    </row>
    <row r="3074" spans="1:2" x14ac:dyDescent="0.35">
      <c r="A3074" s="32" t="s">
        <v>742</v>
      </c>
      <c r="B3074" s="32"/>
    </row>
    <row r="3075" spans="1:2" x14ac:dyDescent="0.35">
      <c r="A3075" s="32" t="s">
        <v>743</v>
      </c>
      <c r="B3075" s="32"/>
    </row>
    <row r="3076" spans="1:2" x14ac:dyDescent="0.35">
      <c r="A3076" s="32" t="s">
        <v>744</v>
      </c>
      <c r="B3076" s="32"/>
    </row>
    <row r="3077" spans="1:2" x14ac:dyDescent="0.35">
      <c r="A3077" s="32" t="s">
        <v>745</v>
      </c>
      <c r="B3077" s="32"/>
    </row>
    <row r="3078" spans="1:2" x14ac:dyDescent="0.35">
      <c r="A3078" s="32" t="s">
        <v>746</v>
      </c>
      <c r="B3078" s="32"/>
    </row>
    <row r="3079" spans="1:2" x14ac:dyDescent="0.35">
      <c r="A3079" s="32" t="s">
        <v>747</v>
      </c>
      <c r="B3079" s="32"/>
    </row>
    <row r="3080" spans="1:2" x14ac:dyDescent="0.35">
      <c r="A3080" s="32" t="s">
        <v>748</v>
      </c>
      <c r="B3080" s="32"/>
    </row>
    <row r="3081" spans="1:2" x14ac:dyDescent="0.35">
      <c r="A3081" s="32" t="s">
        <v>1721</v>
      </c>
      <c r="B3081" s="32"/>
    </row>
    <row r="3082" spans="1:2" x14ac:dyDescent="0.35">
      <c r="A3082" s="32" t="s">
        <v>1722</v>
      </c>
      <c r="B3082" s="32"/>
    </row>
    <row r="3083" spans="1:2" x14ac:dyDescent="0.35">
      <c r="A3083" s="32" t="s">
        <v>750</v>
      </c>
      <c r="B3083" s="32"/>
    </row>
    <row r="3084" spans="1:2" x14ac:dyDescent="0.35">
      <c r="A3084" s="32" t="s">
        <v>751</v>
      </c>
      <c r="B3084" s="32"/>
    </row>
    <row r="3085" spans="1:2" x14ac:dyDescent="0.35">
      <c r="A3085" s="32" t="s">
        <v>752</v>
      </c>
      <c r="B3085" s="32"/>
    </row>
    <row r="3086" spans="1:2" x14ac:dyDescent="0.35">
      <c r="A3086" s="32" t="s">
        <v>753</v>
      </c>
      <c r="B3086" s="32"/>
    </row>
    <row r="3087" spans="1:2" x14ac:dyDescent="0.35">
      <c r="A3087" s="32" t="s">
        <v>754</v>
      </c>
      <c r="B3087" s="32"/>
    </row>
    <row r="3088" spans="1:2" x14ac:dyDescent="0.35">
      <c r="A3088" s="32" t="s">
        <v>755</v>
      </c>
      <c r="B3088" s="32"/>
    </row>
    <row r="3089" spans="1:2" x14ac:dyDescent="0.35">
      <c r="A3089" s="32" t="s">
        <v>756</v>
      </c>
      <c r="B3089" s="32"/>
    </row>
    <row r="3090" spans="1:2" x14ac:dyDescent="0.35">
      <c r="A3090" s="32" t="s">
        <v>757</v>
      </c>
      <c r="B3090" s="32"/>
    </row>
    <row r="3091" spans="1:2" x14ac:dyDescent="0.35">
      <c r="A3091" s="32" t="s">
        <v>758</v>
      </c>
      <c r="B3091" s="32"/>
    </row>
    <row r="3092" spans="1:2" x14ac:dyDescent="0.35">
      <c r="A3092" s="32" t="s">
        <v>759</v>
      </c>
      <c r="B3092" s="32"/>
    </row>
    <row r="3093" spans="1:2" x14ac:dyDescent="0.35">
      <c r="A3093" s="32" t="s">
        <v>760</v>
      </c>
      <c r="B3093" s="32"/>
    </row>
    <row r="3094" spans="1:2" x14ac:dyDescent="0.35">
      <c r="A3094" s="32" t="s">
        <v>761</v>
      </c>
      <c r="B3094" s="32"/>
    </row>
    <row r="3095" spans="1:2" x14ac:dyDescent="0.35">
      <c r="A3095" s="32" t="s">
        <v>762</v>
      </c>
      <c r="B3095" s="32"/>
    </row>
    <row r="3096" spans="1:2" x14ac:dyDescent="0.35">
      <c r="A3096" s="32" t="s">
        <v>763</v>
      </c>
      <c r="B3096" s="32"/>
    </row>
    <row r="3097" spans="1:2" x14ac:dyDescent="0.35">
      <c r="A3097" s="32" t="s">
        <v>764</v>
      </c>
      <c r="B3097" s="32"/>
    </row>
    <row r="3098" spans="1:2" x14ac:dyDescent="0.35">
      <c r="A3098" s="32" t="s">
        <v>765</v>
      </c>
      <c r="B3098" s="32"/>
    </row>
    <row r="3099" spans="1:2" x14ac:dyDescent="0.35">
      <c r="A3099" s="32" t="s">
        <v>766</v>
      </c>
      <c r="B3099" s="32"/>
    </row>
    <row r="3100" spans="1:2" x14ac:dyDescent="0.35">
      <c r="A3100" s="32" t="s">
        <v>767</v>
      </c>
      <c r="B3100" s="32"/>
    </row>
    <row r="3101" spans="1:2" x14ac:dyDescent="0.35">
      <c r="A3101" s="32" t="s">
        <v>768</v>
      </c>
      <c r="B3101" s="32"/>
    </row>
    <row r="3102" spans="1:2" x14ac:dyDescent="0.35">
      <c r="A3102" s="32" t="s">
        <v>769</v>
      </c>
      <c r="B3102" s="32"/>
    </row>
    <row r="3103" spans="1:2" x14ac:dyDescent="0.35">
      <c r="A3103" s="32" t="s">
        <v>770</v>
      </c>
      <c r="B3103" s="32"/>
    </row>
    <row r="3104" spans="1:2" x14ac:dyDescent="0.35">
      <c r="A3104" s="32" t="s">
        <v>771</v>
      </c>
      <c r="B3104" s="32"/>
    </row>
    <row r="3105" spans="1:2" x14ac:dyDescent="0.35">
      <c r="A3105" s="32" t="s">
        <v>772</v>
      </c>
      <c r="B3105" s="32"/>
    </row>
    <row r="3106" spans="1:2" x14ac:dyDescent="0.35">
      <c r="A3106" s="32" t="s">
        <v>773</v>
      </c>
      <c r="B3106" s="32"/>
    </row>
    <row r="3107" spans="1:2" x14ac:dyDescent="0.35">
      <c r="A3107" s="32" t="s">
        <v>774</v>
      </c>
      <c r="B3107" s="32"/>
    </row>
    <row r="3108" spans="1:2" x14ac:dyDescent="0.35">
      <c r="A3108" s="32" t="s">
        <v>775</v>
      </c>
      <c r="B3108" s="32"/>
    </row>
    <row r="3109" spans="1:2" x14ac:dyDescent="0.35">
      <c r="A3109" s="32" t="s">
        <v>776</v>
      </c>
      <c r="B3109" s="32"/>
    </row>
    <row r="3110" spans="1:2" x14ac:dyDescent="0.35">
      <c r="A3110" s="32" t="s">
        <v>777</v>
      </c>
      <c r="B3110" s="32"/>
    </row>
    <row r="3111" spans="1:2" x14ac:dyDescent="0.35">
      <c r="A3111" s="32" t="s">
        <v>778</v>
      </c>
      <c r="B3111" s="32"/>
    </row>
    <row r="3112" spans="1:2" x14ac:dyDescent="0.35">
      <c r="A3112" s="32" t="s">
        <v>779</v>
      </c>
      <c r="B3112" s="32"/>
    </row>
    <row r="3113" spans="1:2" x14ac:dyDescent="0.35">
      <c r="A3113" s="32" t="s">
        <v>780</v>
      </c>
      <c r="B3113" s="32"/>
    </row>
    <row r="3114" spans="1:2" x14ac:dyDescent="0.35">
      <c r="A3114" s="32" t="s">
        <v>781</v>
      </c>
      <c r="B3114" s="32"/>
    </row>
    <row r="3115" spans="1:2" x14ac:dyDescent="0.35">
      <c r="A3115" s="32" t="s">
        <v>782</v>
      </c>
      <c r="B3115" s="32"/>
    </row>
    <row r="3116" spans="1:2" x14ac:dyDescent="0.35">
      <c r="A3116" s="32" t="s">
        <v>783</v>
      </c>
      <c r="B3116" s="32"/>
    </row>
    <row r="3117" spans="1:2" x14ac:dyDescent="0.35">
      <c r="A3117" s="32" t="s">
        <v>784</v>
      </c>
      <c r="B3117" s="32"/>
    </row>
    <row r="3118" spans="1:2" x14ac:dyDescent="0.35">
      <c r="A3118" s="32" t="s">
        <v>785</v>
      </c>
      <c r="B3118" s="32"/>
    </row>
    <row r="3119" spans="1:2" x14ac:dyDescent="0.35">
      <c r="A3119" s="32" t="s">
        <v>786</v>
      </c>
      <c r="B3119" s="32"/>
    </row>
    <row r="3120" spans="1:2" x14ac:dyDescent="0.35">
      <c r="A3120" s="32" t="s">
        <v>787</v>
      </c>
      <c r="B3120" s="32"/>
    </row>
    <row r="3121" spans="1:2" x14ac:dyDescent="0.35">
      <c r="A3121" s="32" t="s">
        <v>788</v>
      </c>
      <c r="B3121" s="32"/>
    </row>
    <row r="3122" spans="1:2" x14ac:dyDescent="0.35">
      <c r="A3122" s="32" t="s">
        <v>789</v>
      </c>
      <c r="B3122" s="32"/>
    </row>
    <row r="3123" spans="1:2" x14ac:dyDescent="0.35">
      <c r="A3123" s="32" t="s">
        <v>790</v>
      </c>
      <c r="B3123" s="32"/>
    </row>
    <row r="3124" spans="1:2" x14ac:dyDescent="0.35">
      <c r="A3124" s="32" t="s">
        <v>791</v>
      </c>
      <c r="B3124" s="32"/>
    </row>
    <row r="3125" spans="1:2" x14ac:dyDescent="0.35">
      <c r="A3125" s="32" t="s">
        <v>792</v>
      </c>
      <c r="B3125" s="32"/>
    </row>
    <row r="3126" spans="1:2" x14ac:dyDescent="0.35">
      <c r="A3126" s="32" t="s">
        <v>793</v>
      </c>
      <c r="B3126" s="32"/>
    </row>
    <row r="3127" spans="1:2" x14ac:dyDescent="0.35">
      <c r="A3127" s="32" t="s">
        <v>794</v>
      </c>
      <c r="B3127" s="32"/>
    </row>
    <row r="3128" spans="1:2" x14ac:dyDescent="0.35">
      <c r="A3128" s="32" t="s">
        <v>795</v>
      </c>
      <c r="B3128" s="32"/>
    </row>
    <row r="3129" spans="1:2" x14ac:dyDescent="0.35">
      <c r="A3129" s="32" t="s">
        <v>796</v>
      </c>
      <c r="B3129" s="32"/>
    </row>
    <row r="3130" spans="1:2" x14ac:dyDescent="0.35">
      <c r="A3130" s="32" t="s">
        <v>797</v>
      </c>
      <c r="B3130" s="32"/>
    </row>
    <row r="3131" spans="1:2" x14ac:dyDescent="0.35">
      <c r="A3131" s="32" t="s">
        <v>798</v>
      </c>
      <c r="B3131" s="32"/>
    </row>
    <row r="3132" spans="1:2" x14ac:dyDescent="0.35">
      <c r="A3132" s="32" t="s">
        <v>799</v>
      </c>
      <c r="B3132" s="32"/>
    </row>
    <row r="3133" spans="1:2" x14ac:dyDescent="0.35">
      <c r="A3133" s="32" t="s">
        <v>800</v>
      </c>
      <c r="B3133" s="32"/>
    </row>
    <row r="3134" spans="1:2" x14ac:dyDescent="0.35">
      <c r="A3134" s="32" t="s">
        <v>801</v>
      </c>
      <c r="B3134" s="32"/>
    </row>
    <row r="3135" spans="1:2" x14ac:dyDescent="0.35">
      <c r="A3135" s="32" t="s">
        <v>802</v>
      </c>
      <c r="B3135" s="32"/>
    </row>
    <row r="3136" spans="1:2" x14ac:dyDescent="0.35">
      <c r="A3136" s="32" t="s">
        <v>803</v>
      </c>
      <c r="B3136" s="32"/>
    </row>
    <row r="3137" spans="1:2" x14ac:dyDescent="0.35">
      <c r="A3137" s="32" t="s">
        <v>804</v>
      </c>
      <c r="B3137" s="32"/>
    </row>
    <row r="3138" spans="1:2" x14ac:dyDescent="0.35">
      <c r="A3138" s="32" t="s">
        <v>805</v>
      </c>
      <c r="B3138" s="32"/>
    </row>
    <row r="3139" spans="1:2" x14ac:dyDescent="0.35">
      <c r="A3139" s="32" t="s">
        <v>806</v>
      </c>
      <c r="B3139" s="32"/>
    </row>
    <row r="3140" spans="1:2" x14ac:dyDescent="0.35">
      <c r="A3140" s="32" t="s">
        <v>807</v>
      </c>
      <c r="B3140" s="32"/>
    </row>
    <row r="3141" spans="1:2" x14ac:dyDescent="0.35">
      <c r="A3141" s="32" t="s">
        <v>808</v>
      </c>
      <c r="B3141" s="32"/>
    </row>
    <row r="3142" spans="1:2" x14ac:dyDescent="0.35">
      <c r="A3142" s="32" t="s">
        <v>809</v>
      </c>
      <c r="B3142" s="32"/>
    </row>
    <row r="3143" spans="1:2" x14ac:dyDescent="0.35">
      <c r="A3143" s="32" t="s">
        <v>810</v>
      </c>
      <c r="B3143" s="32"/>
    </row>
    <row r="3144" spans="1:2" x14ac:dyDescent="0.35">
      <c r="A3144" s="32" t="s">
        <v>811</v>
      </c>
      <c r="B3144" s="32"/>
    </row>
    <row r="3145" spans="1:2" x14ac:dyDescent="0.35">
      <c r="A3145" s="32" t="s">
        <v>812</v>
      </c>
      <c r="B3145" s="32"/>
    </row>
    <row r="3146" spans="1:2" x14ac:dyDescent="0.35">
      <c r="A3146" s="32" t="s">
        <v>813</v>
      </c>
      <c r="B3146" s="32"/>
    </row>
    <row r="3147" spans="1:2" x14ac:dyDescent="0.35">
      <c r="A3147" s="32" t="s">
        <v>814</v>
      </c>
      <c r="B3147" s="32"/>
    </row>
    <row r="3148" spans="1:2" x14ac:dyDescent="0.35">
      <c r="A3148" s="32" t="s">
        <v>815</v>
      </c>
      <c r="B3148" s="32"/>
    </row>
    <row r="3149" spans="1:2" x14ac:dyDescent="0.35">
      <c r="A3149" s="32" t="s">
        <v>816</v>
      </c>
      <c r="B3149" s="32"/>
    </row>
    <row r="3150" spans="1:2" x14ac:dyDescent="0.35">
      <c r="A3150" s="32" t="s">
        <v>817</v>
      </c>
      <c r="B3150" s="32"/>
    </row>
    <row r="3151" spans="1:2" x14ac:dyDescent="0.35">
      <c r="A3151" s="32" t="s">
        <v>818</v>
      </c>
      <c r="B3151" s="32"/>
    </row>
    <row r="3152" spans="1:2" x14ac:dyDescent="0.35">
      <c r="A3152" s="32" t="s">
        <v>819</v>
      </c>
      <c r="B3152" s="32"/>
    </row>
    <row r="3153" spans="1:2" x14ac:dyDescent="0.35">
      <c r="A3153" s="32" t="s">
        <v>820</v>
      </c>
      <c r="B3153" s="32"/>
    </row>
    <row r="3154" spans="1:2" x14ac:dyDescent="0.35">
      <c r="A3154" s="32" t="s">
        <v>821</v>
      </c>
      <c r="B3154" s="32"/>
    </row>
    <row r="3155" spans="1:2" x14ac:dyDescent="0.35">
      <c r="A3155" s="32" t="s">
        <v>822</v>
      </c>
      <c r="B3155" s="32"/>
    </row>
    <row r="3156" spans="1:2" x14ac:dyDescent="0.35">
      <c r="A3156" s="32" t="s">
        <v>823</v>
      </c>
      <c r="B3156" s="32"/>
    </row>
    <row r="3157" spans="1:2" x14ac:dyDescent="0.35">
      <c r="A3157" s="32" t="s">
        <v>824</v>
      </c>
      <c r="B3157" s="32"/>
    </row>
    <row r="3158" spans="1:2" x14ac:dyDescent="0.35">
      <c r="A3158" s="32" t="s">
        <v>825</v>
      </c>
      <c r="B3158" s="32"/>
    </row>
    <row r="3159" spans="1:2" x14ac:dyDescent="0.35">
      <c r="A3159" s="32" t="s">
        <v>826</v>
      </c>
      <c r="B3159" s="32"/>
    </row>
    <row r="3160" spans="1:2" x14ac:dyDescent="0.35">
      <c r="A3160" s="32" t="s">
        <v>827</v>
      </c>
      <c r="B3160" s="32"/>
    </row>
    <row r="3161" spans="1:2" x14ac:dyDescent="0.35">
      <c r="A3161" s="32" t="s">
        <v>828</v>
      </c>
      <c r="B3161" s="32"/>
    </row>
    <row r="3162" spans="1:2" x14ac:dyDescent="0.35">
      <c r="A3162" s="32" t="s">
        <v>829</v>
      </c>
      <c r="B3162" s="32"/>
    </row>
    <row r="3163" spans="1:2" x14ac:dyDescent="0.35">
      <c r="A3163" s="32" t="s">
        <v>830</v>
      </c>
      <c r="B3163" s="32"/>
    </row>
    <row r="3164" spans="1:2" x14ac:dyDescent="0.35">
      <c r="A3164" s="32" t="s">
        <v>831</v>
      </c>
      <c r="B3164" s="32"/>
    </row>
    <row r="3165" spans="1:2" x14ac:dyDescent="0.35">
      <c r="A3165" s="32" t="s">
        <v>832</v>
      </c>
      <c r="B3165" s="32"/>
    </row>
    <row r="3166" spans="1:2" x14ac:dyDescent="0.35">
      <c r="A3166" s="32" t="s">
        <v>833</v>
      </c>
      <c r="B3166" s="32"/>
    </row>
    <row r="3167" spans="1:2" x14ac:dyDescent="0.35">
      <c r="A3167" s="32" t="s">
        <v>834</v>
      </c>
      <c r="B3167" s="32"/>
    </row>
    <row r="3168" spans="1:2" x14ac:dyDescent="0.35">
      <c r="A3168" s="32" t="s">
        <v>835</v>
      </c>
      <c r="B3168" s="32"/>
    </row>
    <row r="3169" spans="1:2" x14ac:dyDescent="0.35">
      <c r="A3169" s="32" t="s">
        <v>836</v>
      </c>
      <c r="B3169" s="32"/>
    </row>
    <row r="3170" spans="1:2" x14ac:dyDescent="0.35">
      <c r="A3170" s="32" t="s">
        <v>837</v>
      </c>
      <c r="B3170" s="32"/>
    </row>
    <row r="3171" spans="1:2" x14ac:dyDescent="0.35">
      <c r="A3171" s="32" t="s">
        <v>838</v>
      </c>
      <c r="B3171" s="32"/>
    </row>
    <row r="3172" spans="1:2" x14ac:dyDescent="0.35">
      <c r="A3172" s="32" t="s">
        <v>839</v>
      </c>
      <c r="B3172" s="32"/>
    </row>
    <row r="3173" spans="1:2" x14ac:dyDescent="0.35">
      <c r="A3173" s="32" t="s">
        <v>1723</v>
      </c>
      <c r="B3173" s="32"/>
    </row>
    <row r="3174" spans="1:2" x14ac:dyDescent="0.35">
      <c r="A3174" s="32" t="s">
        <v>1724</v>
      </c>
      <c r="B3174" s="32"/>
    </row>
    <row r="3175" spans="1:2" x14ac:dyDescent="0.35">
      <c r="A3175" s="32" t="s">
        <v>841</v>
      </c>
      <c r="B3175" s="32"/>
    </row>
    <row r="3176" spans="1:2" x14ac:dyDescent="0.35">
      <c r="A3176" s="32" t="s">
        <v>842</v>
      </c>
      <c r="B3176" s="32"/>
    </row>
    <row r="3177" spans="1:2" x14ac:dyDescent="0.35">
      <c r="A3177" s="32" t="s">
        <v>1725</v>
      </c>
      <c r="B3177" s="32"/>
    </row>
    <row r="3178" spans="1:2" x14ac:dyDescent="0.35">
      <c r="A3178" s="32" t="s">
        <v>1726</v>
      </c>
      <c r="B3178" s="32"/>
    </row>
    <row r="3179" spans="1:2" x14ac:dyDescent="0.35">
      <c r="A3179" s="32" t="s">
        <v>844</v>
      </c>
      <c r="B3179" s="32"/>
    </row>
    <row r="3180" spans="1:2" x14ac:dyDescent="0.35">
      <c r="A3180" s="32" t="s">
        <v>845</v>
      </c>
      <c r="B3180" s="32"/>
    </row>
    <row r="3181" spans="1:2" x14ac:dyDescent="0.35">
      <c r="A3181" s="32" t="s">
        <v>846</v>
      </c>
      <c r="B3181" s="32"/>
    </row>
    <row r="3182" spans="1:2" x14ac:dyDescent="0.35">
      <c r="A3182" s="32" t="s">
        <v>847</v>
      </c>
      <c r="B3182" s="32"/>
    </row>
    <row r="3183" spans="1:2" x14ac:dyDescent="0.35">
      <c r="A3183" s="32" t="s">
        <v>848</v>
      </c>
      <c r="B3183" s="32"/>
    </row>
    <row r="3184" spans="1:2" x14ac:dyDescent="0.35">
      <c r="A3184" s="32" t="s">
        <v>849</v>
      </c>
      <c r="B3184" s="32"/>
    </row>
    <row r="3185" spans="1:2" x14ac:dyDescent="0.35">
      <c r="A3185" s="32" t="s">
        <v>850</v>
      </c>
      <c r="B3185" s="32"/>
    </row>
    <row r="3186" spans="1:2" x14ac:dyDescent="0.35">
      <c r="A3186" s="32" t="s">
        <v>851</v>
      </c>
      <c r="B3186" s="32"/>
    </row>
    <row r="3187" spans="1:2" x14ac:dyDescent="0.35">
      <c r="A3187" s="32" t="s">
        <v>852</v>
      </c>
      <c r="B3187" s="32"/>
    </row>
    <row r="3188" spans="1:2" x14ac:dyDescent="0.35">
      <c r="A3188" s="32" t="s">
        <v>853</v>
      </c>
      <c r="B3188" s="32"/>
    </row>
    <row r="3189" spans="1:2" x14ac:dyDescent="0.35">
      <c r="A3189" s="32" t="s">
        <v>854</v>
      </c>
      <c r="B3189" s="32"/>
    </row>
    <row r="3190" spans="1:2" x14ac:dyDescent="0.35">
      <c r="A3190" s="32" t="s">
        <v>855</v>
      </c>
      <c r="B3190" s="32"/>
    </row>
    <row r="3191" spans="1:2" x14ac:dyDescent="0.35">
      <c r="A3191" s="32" t="s">
        <v>856</v>
      </c>
      <c r="B3191" s="32"/>
    </row>
    <row r="3192" spans="1:2" x14ac:dyDescent="0.35">
      <c r="A3192" s="32" t="s">
        <v>857</v>
      </c>
      <c r="B3192" s="32"/>
    </row>
    <row r="3193" spans="1:2" x14ac:dyDescent="0.35">
      <c r="A3193" s="32" t="s">
        <v>858</v>
      </c>
      <c r="B3193" s="32"/>
    </row>
    <row r="3194" spans="1:2" x14ac:dyDescent="0.35">
      <c r="A3194" s="32" t="s">
        <v>859</v>
      </c>
      <c r="B3194" s="32"/>
    </row>
    <row r="3195" spans="1:2" x14ac:dyDescent="0.35">
      <c r="A3195" s="32" t="s">
        <v>860</v>
      </c>
      <c r="B3195" s="32"/>
    </row>
    <row r="3196" spans="1:2" x14ac:dyDescent="0.35">
      <c r="A3196" s="32" t="s">
        <v>861</v>
      </c>
      <c r="B3196" s="32"/>
    </row>
    <row r="3197" spans="1:2" x14ac:dyDescent="0.35">
      <c r="A3197" s="32" t="s">
        <v>862</v>
      </c>
      <c r="B3197" s="32"/>
    </row>
    <row r="3198" spans="1:2" x14ac:dyDescent="0.35">
      <c r="A3198" s="32" t="s">
        <v>863</v>
      </c>
      <c r="B3198" s="32"/>
    </row>
    <row r="3199" spans="1:2" x14ac:dyDescent="0.35">
      <c r="A3199" s="32" t="s">
        <v>864</v>
      </c>
      <c r="B3199" s="32"/>
    </row>
    <row r="3200" spans="1:2" x14ac:dyDescent="0.35">
      <c r="A3200" s="32" t="s">
        <v>865</v>
      </c>
      <c r="B3200" s="32"/>
    </row>
    <row r="3201" spans="1:2" x14ac:dyDescent="0.35">
      <c r="A3201" s="32" t="s">
        <v>866</v>
      </c>
      <c r="B3201" s="32"/>
    </row>
    <row r="3202" spans="1:2" x14ac:dyDescent="0.35">
      <c r="A3202" s="32" t="s">
        <v>867</v>
      </c>
      <c r="B3202" s="32"/>
    </row>
    <row r="3203" spans="1:2" x14ac:dyDescent="0.35">
      <c r="A3203" s="32" t="s">
        <v>868</v>
      </c>
      <c r="B3203" s="32"/>
    </row>
    <row r="3204" spans="1:2" x14ac:dyDescent="0.35">
      <c r="A3204" s="32" t="s">
        <v>869</v>
      </c>
      <c r="B3204" s="32"/>
    </row>
    <row r="3205" spans="1:2" x14ac:dyDescent="0.35">
      <c r="A3205" s="32" t="s">
        <v>870</v>
      </c>
      <c r="B3205" s="32"/>
    </row>
    <row r="3206" spans="1:2" x14ac:dyDescent="0.35">
      <c r="A3206" s="32" t="s">
        <v>871</v>
      </c>
      <c r="B3206" s="32"/>
    </row>
    <row r="3207" spans="1:2" x14ac:dyDescent="0.35">
      <c r="A3207" s="32" t="s">
        <v>872</v>
      </c>
      <c r="B3207" s="32"/>
    </row>
    <row r="3208" spans="1:2" x14ac:dyDescent="0.35">
      <c r="A3208" s="32" t="s">
        <v>873</v>
      </c>
      <c r="B3208" s="32"/>
    </row>
    <row r="3209" spans="1:2" x14ac:dyDescent="0.35">
      <c r="A3209" s="32" t="s">
        <v>874</v>
      </c>
      <c r="B3209" s="32"/>
    </row>
    <row r="3210" spans="1:2" x14ac:dyDescent="0.35">
      <c r="A3210" s="32" t="s">
        <v>875</v>
      </c>
      <c r="B3210" s="32"/>
    </row>
    <row r="3211" spans="1:2" x14ac:dyDescent="0.35">
      <c r="A3211" s="32" t="s">
        <v>876</v>
      </c>
      <c r="B3211" s="32"/>
    </row>
    <row r="3212" spans="1:2" x14ac:dyDescent="0.35">
      <c r="A3212" s="32" t="s">
        <v>877</v>
      </c>
      <c r="B3212" s="32"/>
    </row>
    <row r="3213" spans="1:2" x14ac:dyDescent="0.35">
      <c r="A3213" s="32" t="s">
        <v>878</v>
      </c>
      <c r="B3213" s="32"/>
    </row>
    <row r="3214" spans="1:2" x14ac:dyDescent="0.35">
      <c r="A3214" s="32" t="s">
        <v>879</v>
      </c>
      <c r="B3214" s="32"/>
    </row>
    <row r="3215" spans="1:2" x14ac:dyDescent="0.35">
      <c r="A3215" s="32" t="s">
        <v>880</v>
      </c>
      <c r="B3215" s="32"/>
    </row>
    <row r="3216" spans="1:2" x14ac:dyDescent="0.35">
      <c r="A3216" s="32" t="s">
        <v>881</v>
      </c>
      <c r="B3216" s="32"/>
    </row>
    <row r="3217" spans="1:2" x14ac:dyDescent="0.35">
      <c r="A3217" s="32" t="s">
        <v>882</v>
      </c>
      <c r="B3217" s="32"/>
    </row>
    <row r="3218" spans="1:2" x14ac:dyDescent="0.35">
      <c r="A3218" s="32" t="s">
        <v>883</v>
      </c>
      <c r="B3218" s="32"/>
    </row>
    <row r="3219" spans="1:2" x14ac:dyDescent="0.35">
      <c r="A3219" s="32" t="s">
        <v>884</v>
      </c>
      <c r="B3219" s="32"/>
    </row>
    <row r="3220" spans="1:2" x14ac:dyDescent="0.35">
      <c r="A3220" s="32" t="s">
        <v>885</v>
      </c>
      <c r="B3220" s="32"/>
    </row>
    <row r="3221" spans="1:2" x14ac:dyDescent="0.35">
      <c r="A3221" s="32" t="s">
        <v>886</v>
      </c>
      <c r="B3221" s="32"/>
    </row>
    <row r="3222" spans="1:2" x14ac:dyDescent="0.35">
      <c r="A3222" s="32" t="s">
        <v>887</v>
      </c>
      <c r="B3222" s="32"/>
    </row>
    <row r="3223" spans="1:2" x14ac:dyDescent="0.35">
      <c r="A3223" s="32" t="s">
        <v>888</v>
      </c>
      <c r="B3223" s="32"/>
    </row>
    <row r="3224" spans="1:2" x14ac:dyDescent="0.35">
      <c r="A3224" s="32" t="s">
        <v>889</v>
      </c>
      <c r="B3224" s="32"/>
    </row>
    <row r="3225" spans="1:2" x14ac:dyDescent="0.35">
      <c r="A3225" s="32" t="s">
        <v>890</v>
      </c>
      <c r="B3225" s="32"/>
    </row>
    <row r="3226" spans="1:2" x14ac:dyDescent="0.35">
      <c r="A3226" s="32" t="s">
        <v>891</v>
      </c>
      <c r="B3226" s="32"/>
    </row>
    <row r="3227" spans="1:2" x14ac:dyDescent="0.35">
      <c r="A3227" s="32" t="s">
        <v>892</v>
      </c>
      <c r="B3227" s="32"/>
    </row>
    <row r="3228" spans="1:2" x14ac:dyDescent="0.35">
      <c r="A3228" s="32" t="s">
        <v>893</v>
      </c>
      <c r="B3228" s="32"/>
    </row>
    <row r="3229" spans="1:2" x14ac:dyDescent="0.35">
      <c r="A3229" s="32" t="s">
        <v>894</v>
      </c>
      <c r="B3229" s="32"/>
    </row>
    <row r="3230" spans="1:2" x14ac:dyDescent="0.35">
      <c r="A3230" s="32" t="s">
        <v>895</v>
      </c>
      <c r="B3230" s="32"/>
    </row>
    <row r="3231" spans="1:2" x14ac:dyDescent="0.35">
      <c r="A3231" s="32" t="s">
        <v>896</v>
      </c>
      <c r="B3231" s="32"/>
    </row>
    <row r="3232" spans="1:2" x14ac:dyDescent="0.35">
      <c r="A3232" s="32" t="s">
        <v>897</v>
      </c>
      <c r="B3232" s="32"/>
    </row>
    <row r="3233" spans="1:2" x14ac:dyDescent="0.35">
      <c r="A3233" s="32" t="s">
        <v>898</v>
      </c>
      <c r="B3233" s="32"/>
    </row>
    <row r="3234" spans="1:2" x14ac:dyDescent="0.35">
      <c r="A3234" s="32" t="s">
        <v>899</v>
      </c>
      <c r="B3234" s="32"/>
    </row>
    <row r="3235" spans="1:2" x14ac:dyDescent="0.35">
      <c r="A3235" s="32" t="s">
        <v>900</v>
      </c>
      <c r="B3235" s="32"/>
    </row>
    <row r="3236" spans="1:2" x14ac:dyDescent="0.35">
      <c r="A3236" s="32" t="s">
        <v>901</v>
      </c>
      <c r="B3236" s="32"/>
    </row>
    <row r="3237" spans="1:2" x14ac:dyDescent="0.35">
      <c r="A3237" s="32" t="s">
        <v>902</v>
      </c>
      <c r="B3237" s="32"/>
    </row>
    <row r="3238" spans="1:2" x14ac:dyDescent="0.35">
      <c r="A3238" s="32" t="s">
        <v>903</v>
      </c>
      <c r="B3238" s="32"/>
    </row>
    <row r="3239" spans="1:2" x14ac:dyDescent="0.35">
      <c r="A3239" s="32" t="s">
        <v>904</v>
      </c>
      <c r="B3239" s="32"/>
    </row>
    <row r="3240" spans="1:2" x14ac:dyDescent="0.35">
      <c r="A3240" s="32" t="s">
        <v>905</v>
      </c>
      <c r="B3240" s="32"/>
    </row>
    <row r="3241" spans="1:2" x14ac:dyDescent="0.35">
      <c r="A3241" s="32" t="s">
        <v>906</v>
      </c>
      <c r="B3241" s="32"/>
    </row>
    <row r="3242" spans="1:2" x14ac:dyDescent="0.35">
      <c r="A3242" s="32" t="s">
        <v>907</v>
      </c>
      <c r="B3242" s="32"/>
    </row>
    <row r="3243" spans="1:2" x14ac:dyDescent="0.35">
      <c r="A3243" s="32" t="s">
        <v>908</v>
      </c>
      <c r="B3243" s="32"/>
    </row>
    <row r="3244" spans="1:2" x14ac:dyDescent="0.35">
      <c r="A3244" s="32" t="s">
        <v>909</v>
      </c>
      <c r="B3244" s="32"/>
    </row>
    <row r="3245" spans="1:2" x14ac:dyDescent="0.35">
      <c r="A3245" s="32" t="s">
        <v>910</v>
      </c>
      <c r="B3245" s="32"/>
    </row>
    <row r="3246" spans="1:2" x14ac:dyDescent="0.35">
      <c r="A3246" s="32" t="s">
        <v>911</v>
      </c>
      <c r="B3246" s="32"/>
    </row>
    <row r="3247" spans="1:2" x14ac:dyDescent="0.35">
      <c r="A3247" s="32" t="s">
        <v>912</v>
      </c>
      <c r="B3247" s="32"/>
    </row>
    <row r="3248" spans="1:2" x14ac:dyDescent="0.35">
      <c r="A3248" s="32" t="s">
        <v>913</v>
      </c>
      <c r="B3248" s="32"/>
    </row>
    <row r="3249" spans="1:2" x14ac:dyDescent="0.35">
      <c r="A3249" s="32" t="s">
        <v>914</v>
      </c>
      <c r="B3249" s="32"/>
    </row>
    <row r="3250" spans="1:2" x14ac:dyDescent="0.35">
      <c r="A3250" s="32" t="s">
        <v>915</v>
      </c>
      <c r="B3250" s="32"/>
    </row>
    <row r="3251" spans="1:2" x14ac:dyDescent="0.35">
      <c r="A3251" s="32" t="s">
        <v>916</v>
      </c>
      <c r="B3251" s="32"/>
    </row>
    <row r="3252" spans="1:2" x14ac:dyDescent="0.35">
      <c r="A3252" s="32" t="s">
        <v>917</v>
      </c>
      <c r="B3252" s="32"/>
    </row>
    <row r="3253" spans="1:2" x14ac:dyDescent="0.35">
      <c r="A3253" s="32" t="s">
        <v>918</v>
      </c>
      <c r="B3253" s="32"/>
    </row>
    <row r="3254" spans="1:2" x14ac:dyDescent="0.35">
      <c r="A3254" s="32" t="s">
        <v>919</v>
      </c>
      <c r="B3254" s="32"/>
    </row>
    <row r="3255" spans="1:2" x14ac:dyDescent="0.35">
      <c r="A3255" s="32" t="s">
        <v>920</v>
      </c>
      <c r="B3255" s="32"/>
    </row>
    <row r="3256" spans="1:2" x14ac:dyDescent="0.35">
      <c r="A3256" s="32" t="s">
        <v>921</v>
      </c>
      <c r="B3256" s="32"/>
    </row>
    <row r="3257" spans="1:2" x14ac:dyDescent="0.35">
      <c r="A3257" s="32" t="s">
        <v>922</v>
      </c>
      <c r="B3257" s="32"/>
    </row>
    <row r="3258" spans="1:2" x14ac:dyDescent="0.35">
      <c r="A3258" s="32" t="s">
        <v>923</v>
      </c>
      <c r="B3258" s="32"/>
    </row>
    <row r="3259" spans="1:2" x14ac:dyDescent="0.35">
      <c r="A3259" s="32" t="s">
        <v>924</v>
      </c>
      <c r="B3259" s="32"/>
    </row>
    <row r="3260" spans="1:2" x14ac:dyDescent="0.35">
      <c r="A3260" s="32" t="s">
        <v>925</v>
      </c>
      <c r="B3260" s="32"/>
    </row>
    <row r="3261" spans="1:2" x14ac:dyDescent="0.35">
      <c r="A3261" s="32" t="s">
        <v>926</v>
      </c>
      <c r="B3261" s="32"/>
    </row>
    <row r="3262" spans="1:2" x14ac:dyDescent="0.35">
      <c r="A3262" s="32" t="s">
        <v>927</v>
      </c>
      <c r="B3262" s="32"/>
    </row>
    <row r="3263" spans="1:2" x14ac:dyDescent="0.35">
      <c r="A3263" s="32" t="s">
        <v>928</v>
      </c>
      <c r="B3263" s="32"/>
    </row>
    <row r="3264" spans="1:2" x14ac:dyDescent="0.35">
      <c r="A3264" s="32" t="s">
        <v>929</v>
      </c>
      <c r="B3264" s="32"/>
    </row>
    <row r="3265" spans="1:2" x14ac:dyDescent="0.35">
      <c r="A3265" s="32" t="s">
        <v>930</v>
      </c>
      <c r="B3265" s="32"/>
    </row>
    <row r="3266" spans="1:2" x14ac:dyDescent="0.35">
      <c r="A3266" s="32" t="s">
        <v>931</v>
      </c>
      <c r="B3266" s="32"/>
    </row>
    <row r="3267" spans="1:2" x14ac:dyDescent="0.35">
      <c r="A3267" s="32" t="s">
        <v>932</v>
      </c>
      <c r="B3267" s="32"/>
    </row>
    <row r="3268" spans="1:2" x14ac:dyDescent="0.35">
      <c r="A3268" s="32" t="s">
        <v>933</v>
      </c>
      <c r="B3268" s="32"/>
    </row>
    <row r="3269" spans="1:2" x14ac:dyDescent="0.35">
      <c r="A3269" s="32" t="s">
        <v>934</v>
      </c>
      <c r="B3269" s="32"/>
    </row>
    <row r="3270" spans="1:2" x14ac:dyDescent="0.35">
      <c r="A3270" s="32" t="s">
        <v>935</v>
      </c>
      <c r="B3270" s="32"/>
    </row>
    <row r="3271" spans="1:2" x14ac:dyDescent="0.35">
      <c r="A3271" s="32" t="s">
        <v>936</v>
      </c>
      <c r="B3271" s="32"/>
    </row>
    <row r="3272" spans="1:2" x14ac:dyDescent="0.35">
      <c r="A3272" s="32" t="s">
        <v>937</v>
      </c>
      <c r="B3272" s="32"/>
    </row>
    <row r="3273" spans="1:2" x14ac:dyDescent="0.35">
      <c r="A3273" s="32" t="s">
        <v>938</v>
      </c>
      <c r="B3273" s="32"/>
    </row>
    <row r="3274" spans="1:2" x14ac:dyDescent="0.35">
      <c r="A3274" s="32" t="s">
        <v>939</v>
      </c>
      <c r="B3274" s="32"/>
    </row>
    <row r="3275" spans="1:2" x14ac:dyDescent="0.35">
      <c r="A3275" s="32" t="s">
        <v>940</v>
      </c>
      <c r="B3275" s="32"/>
    </row>
    <row r="3276" spans="1:2" x14ac:dyDescent="0.35">
      <c r="A3276" s="32" t="s">
        <v>941</v>
      </c>
      <c r="B3276" s="32"/>
    </row>
    <row r="3277" spans="1:2" x14ac:dyDescent="0.35">
      <c r="A3277" s="32" t="s">
        <v>942</v>
      </c>
      <c r="B3277" s="32"/>
    </row>
    <row r="3278" spans="1:2" x14ac:dyDescent="0.35">
      <c r="A3278" s="32" t="s">
        <v>943</v>
      </c>
      <c r="B3278" s="32"/>
    </row>
    <row r="3279" spans="1:2" x14ac:dyDescent="0.35">
      <c r="A3279" s="32" t="s">
        <v>944</v>
      </c>
      <c r="B3279" s="32"/>
    </row>
    <row r="3280" spans="1:2" x14ac:dyDescent="0.35">
      <c r="A3280" s="32" t="s">
        <v>945</v>
      </c>
      <c r="B3280" s="32"/>
    </row>
    <row r="3281" spans="1:2" x14ac:dyDescent="0.35">
      <c r="A3281" s="32" t="s">
        <v>946</v>
      </c>
      <c r="B3281" s="32"/>
    </row>
    <row r="3282" spans="1:2" x14ac:dyDescent="0.35">
      <c r="A3282" s="32" t="s">
        <v>947</v>
      </c>
      <c r="B3282" s="32"/>
    </row>
    <row r="3283" spans="1:2" x14ac:dyDescent="0.35">
      <c r="A3283" s="32" t="s">
        <v>948</v>
      </c>
      <c r="B3283" s="32"/>
    </row>
    <row r="3284" spans="1:2" x14ac:dyDescent="0.35">
      <c r="A3284" s="32" t="s">
        <v>949</v>
      </c>
      <c r="B3284" s="32"/>
    </row>
    <row r="3285" spans="1:2" x14ac:dyDescent="0.35">
      <c r="A3285" s="32" t="s">
        <v>950</v>
      </c>
      <c r="B3285" s="32"/>
    </row>
    <row r="3286" spans="1:2" x14ac:dyDescent="0.35">
      <c r="A3286" s="32" t="s">
        <v>951</v>
      </c>
      <c r="B3286" s="32"/>
    </row>
    <row r="3287" spans="1:2" x14ac:dyDescent="0.35">
      <c r="A3287" s="32" t="s">
        <v>952</v>
      </c>
      <c r="B3287" s="32"/>
    </row>
    <row r="3288" spans="1:2" x14ac:dyDescent="0.35">
      <c r="A3288" s="32" t="s">
        <v>953</v>
      </c>
      <c r="B3288" s="32"/>
    </row>
    <row r="3289" spans="1:2" x14ac:dyDescent="0.35">
      <c r="A3289" s="32" t="s">
        <v>954</v>
      </c>
      <c r="B3289" s="32"/>
    </row>
    <row r="3290" spans="1:2" x14ac:dyDescent="0.35">
      <c r="A3290" s="32" t="s">
        <v>955</v>
      </c>
      <c r="B3290" s="32"/>
    </row>
    <row r="3291" spans="1:2" x14ac:dyDescent="0.35">
      <c r="A3291" s="32" t="s">
        <v>956</v>
      </c>
      <c r="B3291" s="32"/>
    </row>
    <row r="3292" spans="1:2" x14ac:dyDescent="0.35">
      <c r="A3292" s="32" t="s">
        <v>957</v>
      </c>
      <c r="B3292" s="32"/>
    </row>
    <row r="3293" spans="1:2" x14ac:dyDescent="0.35">
      <c r="A3293" s="32" t="s">
        <v>958</v>
      </c>
      <c r="B3293" s="32"/>
    </row>
    <row r="3294" spans="1:2" x14ac:dyDescent="0.35">
      <c r="A3294" s="32" t="s">
        <v>959</v>
      </c>
      <c r="B3294" s="32"/>
    </row>
    <row r="3295" spans="1:2" x14ac:dyDescent="0.35">
      <c r="A3295" s="32" t="s">
        <v>960</v>
      </c>
      <c r="B3295" s="32"/>
    </row>
    <row r="3296" spans="1:2" x14ac:dyDescent="0.35">
      <c r="A3296" s="32" t="s">
        <v>961</v>
      </c>
      <c r="B3296" s="32"/>
    </row>
    <row r="3297" spans="1:2" x14ac:dyDescent="0.35">
      <c r="A3297" s="32" t="s">
        <v>962</v>
      </c>
      <c r="B3297" s="32"/>
    </row>
    <row r="3298" spans="1:2" x14ac:dyDescent="0.35">
      <c r="A3298" s="32" t="s">
        <v>963</v>
      </c>
      <c r="B3298" s="32"/>
    </row>
    <row r="3299" spans="1:2" x14ac:dyDescent="0.35">
      <c r="A3299" s="32" t="s">
        <v>964</v>
      </c>
      <c r="B3299" s="32"/>
    </row>
    <row r="3300" spans="1:2" x14ac:dyDescent="0.35">
      <c r="A3300" s="32" t="s">
        <v>965</v>
      </c>
      <c r="B3300" s="32"/>
    </row>
    <row r="3301" spans="1:2" x14ac:dyDescent="0.35">
      <c r="A3301" s="32" t="s">
        <v>966</v>
      </c>
      <c r="B3301" s="32"/>
    </row>
    <row r="3302" spans="1:2" x14ac:dyDescent="0.35">
      <c r="A3302" s="32" t="s">
        <v>967</v>
      </c>
      <c r="B3302" s="32"/>
    </row>
    <row r="3303" spans="1:2" x14ac:dyDescent="0.35">
      <c r="A3303" s="32" t="s">
        <v>968</v>
      </c>
      <c r="B3303" s="32"/>
    </row>
    <row r="3304" spans="1:2" x14ac:dyDescent="0.35">
      <c r="A3304" s="32" t="s">
        <v>969</v>
      </c>
      <c r="B3304" s="32"/>
    </row>
    <row r="3305" spans="1:2" x14ac:dyDescent="0.35">
      <c r="A3305" s="32" t="s">
        <v>970</v>
      </c>
      <c r="B3305" s="32"/>
    </row>
    <row r="3306" spans="1:2" x14ac:dyDescent="0.35">
      <c r="A3306" s="32" t="s">
        <v>971</v>
      </c>
      <c r="B3306" s="32"/>
    </row>
    <row r="3307" spans="1:2" x14ac:dyDescent="0.35">
      <c r="A3307" s="32" t="s">
        <v>972</v>
      </c>
      <c r="B3307" s="32"/>
    </row>
    <row r="3308" spans="1:2" x14ac:dyDescent="0.35">
      <c r="A3308" s="32" t="s">
        <v>973</v>
      </c>
      <c r="B3308" s="32"/>
    </row>
    <row r="3309" spans="1:2" x14ac:dyDescent="0.35">
      <c r="A3309" s="32" t="s">
        <v>974</v>
      </c>
      <c r="B3309" s="32"/>
    </row>
    <row r="3310" spans="1:2" x14ac:dyDescent="0.35">
      <c r="A3310" s="32" t="s">
        <v>975</v>
      </c>
      <c r="B3310" s="32"/>
    </row>
    <row r="3311" spans="1:2" x14ac:dyDescent="0.35">
      <c r="A3311" s="32" t="s">
        <v>976</v>
      </c>
      <c r="B3311" s="32"/>
    </row>
    <row r="3312" spans="1:2" x14ac:dyDescent="0.35">
      <c r="A3312" s="32" t="s">
        <v>977</v>
      </c>
      <c r="B3312" s="32"/>
    </row>
    <row r="3313" spans="1:2" x14ac:dyDescent="0.35">
      <c r="A3313" s="32" t="s">
        <v>978</v>
      </c>
      <c r="B3313" s="32"/>
    </row>
    <row r="3314" spans="1:2" x14ac:dyDescent="0.35">
      <c r="A3314" s="32" t="s">
        <v>979</v>
      </c>
      <c r="B3314" s="32"/>
    </row>
    <row r="3315" spans="1:2" x14ac:dyDescent="0.35">
      <c r="A3315" s="32" t="s">
        <v>980</v>
      </c>
      <c r="B3315" s="32"/>
    </row>
    <row r="3316" spans="1:2" x14ac:dyDescent="0.35">
      <c r="A3316" s="32" t="s">
        <v>1727</v>
      </c>
      <c r="B3316" s="32"/>
    </row>
    <row r="3317" spans="1:2" x14ac:dyDescent="0.35">
      <c r="A3317" s="32" t="s">
        <v>981</v>
      </c>
      <c r="B3317" s="32"/>
    </row>
    <row r="3318" spans="1:2" x14ac:dyDescent="0.35">
      <c r="A3318" s="32" t="s">
        <v>982</v>
      </c>
      <c r="B3318" s="32"/>
    </row>
    <row r="3319" spans="1:2" x14ac:dyDescent="0.35">
      <c r="A3319" s="32" t="s">
        <v>983</v>
      </c>
      <c r="B3319" s="32"/>
    </row>
    <row r="3320" spans="1:2" x14ac:dyDescent="0.35">
      <c r="A3320" s="32" t="s">
        <v>984</v>
      </c>
      <c r="B3320" s="32"/>
    </row>
    <row r="3321" spans="1:2" x14ac:dyDescent="0.35">
      <c r="A3321" s="32" t="s">
        <v>985</v>
      </c>
      <c r="B3321" s="32"/>
    </row>
    <row r="3322" spans="1:2" x14ac:dyDescent="0.35">
      <c r="A3322" s="32" t="s">
        <v>986</v>
      </c>
      <c r="B3322" s="32"/>
    </row>
    <row r="3323" spans="1:2" x14ac:dyDescent="0.35">
      <c r="A3323" s="32" t="s">
        <v>987</v>
      </c>
      <c r="B3323" s="32"/>
    </row>
    <row r="3324" spans="1:2" x14ac:dyDescent="0.35">
      <c r="A3324" s="32" t="s">
        <v>988</v>
      </c>
      <c r="B3324" s="32"/>
    </row>
    <row r="3325" spans="1:2" x14ac:dyDescent="0.35">
      <c r="A3325" s="32" t="s">
        <v>989</v>
      </c>
      <c r="B3325" s="32"/>
    </row>
    <row r="3326" spans="1:2" x14ac:dyDescent="0.35">
      <c r="A3326" s="32" t="s">
        <v>990</v>
      </c>
      <c r="B3326" s="32"/>
    </row>
    <row r="3327" spans="1:2" x14ac:dyDescent="0.35">
      <c r="A3327" s="32" t="s">
        <v>991</v>
      </c>
      <c r="B3327" s="32"/>
    </row>
    <row r="3328" spans="1:2" x14ac:dyDescent="0.35">
      <c r="A3328" s="32" t="s">
        <v>992</v>
      </c>
      <c r="B3328" s="32"/>
    </row>
    <row r="3329" spans="1:2" x14ac:dyDescent="0.35">
      <c r="A3329" s="32" t="s">
        <v>993</v>
      </c>
      <c r="B3329" s="32"/>
    </row>
    <row r="3330" spans="1:2" x14ac:dyDescent="0.35">
      <c r="A3330" s="32" t="s">
        <v>994</v>
      </c>
      <c r="B3330" s="32"/>
    </row>
    <row r="3331" spans="1:2" x14ac:dyDescent="0.35">
      <c r="A3331" s="32" t="s">
        <v>995</v>
      </c>
      <c r="B3331" s="32"/>
    </row>
    <row r="3332" spans="1:2" x14ac:dyDescent="0.35">
      <c r="A3332" s="32" t="s">
        <v>996</v>
      </c>
      <c r="B3332" s="32"/>
    </row>
    <row r="3333" spans="1:2" x14ac:dyDescent="0.35">
      <c r="A3333" s="32" t="s">
        <v>997</v>
      </c>
      <c r="B3333" s="32"/>
    </row>
    <row r="3334" spans="1:2" x14ac:dyDescent="0.35">
      <c r="A3334" s="32" t="s">
        <v>998</v>
      </c>
      <c r="B3334" s="32"/>
    </row>
    <row r="3335" spans="1:2" x14ac:dyDescent="0.35">
      <c r="A3335" s="32" t="s">
        <v>1728</v>
      </c>
      <c r="B3335" s="32"/>
    </row>
    <row r="3336" spans="1:2" x14ac:dyDescent="0.35">
      <c r="A3336" s="32" t="s">
        <v>1729</v>
      </c>
      <c r="B3336" s="32"/>
    </row>
    <row r="3337" spans="1:2" x14ac:dyDescent="0.35">
      <c r="A3337" s="32" t="s">
        <v>1730</v>
      </c>
      <c r="B3337" s="32"/>
    </row>
    <row r="3338" spans="1:2" x14ac:dyDescent="0.35">
      <c r="A3338" s="32" t="s">
        <v>1731</v>
      </c>
      <c r="B3338" s="32"/>
    </row>
    <row r="3339" spans="1:2" x14ac:dyDescent="0.35">
      <c r="A3339" s="32" t="s">
        <v>1732</v>
      </c>
      <c r="B3339" s="32"/>
    </row>
    <row r="3340" spans="1:2" x14ac:dyDescent="0.35">
      <c r="A3340" s="32" t="s">
        <v>1001</v>
      </c>
      <c r="B3340" s="32"/>
    </row>
    <row r="3341" spans="1:2" x14ac:dyDescent="0.35">
      <c r="A3341" s="32" t="s">
        <v>1002</v>
      </c>
      <c r="B3341" s="32"/>
    </row>
    <row r="3342" spans="1:2" x14ac:dyDescent="0.35">
      <c r="A3342" s="32" t="s">
        <v>1003</v>
      </c>
      <c r="B3342" s="32"/>
    </row>
    <row r="3343" spans="1:2" x14ac:dyDescent="0.35">
      <c r="A3343" s="32" t="s">
        <v>1004</v>
      </c>
      <c r="B3343" s="32"/>
    </row>
    <row r="3344" spans="1:2" x14ac:dyDescent="0.35">
      <c r="A3344" s="32" t="s">
        <v>1733</v>
      </c>
      <c r="B3344" s="32"/>
    </row>
    <row r="3345" spans="1:2" x14ac:dyDescent="0.35">
      <c r="A3345" s="32" t="s">
        <v>1734</v>
      </c>
      <c r="B3345" s="32"/>
    </row>
    <row r="3346" spans="1:2" x14ac:dyDescent="0.35">
      <c r="A3346" s="32" t="s">
        <v>1735</v>
      </c>
      <c r="B3346" s="32"/>
    </row>
    <row r="3347" spans="1:2" x14ac:dyDescent="0.35">
      <c r="A3347" s="32" t="s">
        <v>1736</v>
      </c>
      <c r="B3347" s="32"/>
    </row>
    <row r="3348" spans="1:2" x14ac:dyDescent="0.35">
      <c r="A3348" s="32" t="s">
        <v>1737</v>
      </c>
      <c r="B3348" s="32"/>
    </row>
    <row r="3349" spans="1:2" x14ac:dyDescent="0.35">
      <c r="A3349" s="32" t="s">
        <v>1738</v>
      </c>
      <c r="B3349" s="32"/>
    </row>
    <row r="3350" spans="1:2" x14ac:dyDescent="0.35">
      <c r="A3350" s="32" t="s">
        <v>1739</v>
      </c>
      <c r="B3350" s="32"/>
    </row>
    <row r="3351" spans="1:2" x14ac:dyDescent="0.35">
      <c r="A3351" s="32" t="s">
        <v>1009</v>
      </c>
      <c r="B3351" s="32"/>
    </row>
    <row r="3352" spans="1:2" x14ac:dyDescent="0.35">
      <c r="A3352" s="32" t="s">
        <v>1010</v>
      </c>
      <c r="B3352" s="32"/>
    </row>
    <row r="3353" spans="1:2" x14ac:dyDescent="0.35">
      <c r="A3353" s="32" t="s">
        <v>1011</v>
      </c>
      <c r="B3353" s="32"/>
    </row>
    <row r="3354" spans="1:2" x14ac:dyDescent="0.35">
      <c r="A3354" s="32" t="s">
        <v>1012</v>
      </c>
      <c r="B3354" s="32"/>
    </row>
    <row r="3355" spans="1:2" x14ac:dyDescent="0.35">
      <c r="A3355" s="32" t="s">
        <v>1013</v>
      </c>
      <c r="B3355" s="32"/>
    </row>
    <row r="3356" spans="1:2" x14ac:dyDescent="0.35">
      <c r="A3356" s="32" t="s">
        <v>1014</v>
      </c>
      <c r="B3356" s="32"/>
    </row>
    <row r="3357" spans="1:2" x14ac:dyDescent="0.35">
      <c r="A3357" s="32" t="s">
        <v>1015</v>
      </c>
      <c r="B3357" s="32"/>
    </row>
    <row r="3358" spans="1:2" x14ac:dyDescent="0.35">
      <c r="A3358" s="32" t="s">
        <v>1016</v>
      </c>
      <c r="B3358" s="32"/>
    </row>
    <row r="3359" spans="1:2" x14ac:dyDescent="0.35">
      <c r="A3359" s="32" t="s">
        <v>1017</v>
      </c>
      <c r="B3359" s="32"/>
    </row>
    <row r="3360" spans="1:2" x14ac:dyDescent="0.35">
      <c r="A3360" s="32" t="s">
        <v>1018</v>
      </c>
      <c r="B3360" s="32"/>
    </row>
    <row r="3361" spans="1:2" x14ac:dyDescent="0.35">
      <c r="A3361" s="32" t="s">
        <v>1019</v>
      </c>
      <c r="B3361" s="32"/>
    </row>
    <row r="3362" spans="1:2" x14ac:dyDescent="0.35">
      <c r="A3362" s="32" t="s">
        <v>1020</v>
      </c>
      <c r="B3362" s="32"/>
    </row>
    <row r="3363" spans="1:2" x14ac:dyDescent="0.35">
      <c r="A3363" s="32" t="s">
        <v>1021</v>
      </c>
      <c r="B3363" s="32"/>
    </row>
    <row r="3364" spans="1:2" x14ac:dyDescent="0.35">
      <c r="A3364" s="32" t="s">
        <v>1022</v>
      </c>
      <c r="B3364" s="32"/>
    </row>
    <row r="3365" spans="1:2" x14ac:dyDescent="0.35">
      <c r="A3365" s="32" t="s">
        <v>1023</v>
      </c>
      <c r="B3365" s="32"/>
    </row>
    <row r="3366" spans="1:2" x14ac:dyDescent="0.35">
      <c r="A3366" s="32" t="s">
        <v>1024</v>
      </c>
      <c r="B3366" s="32"/>
    </row>
    <row r="3367" spans="1:2" x14ac:dyDescent="0.35">
      <c r="A3367" s="32" t="s">
        <v>1025</v>
      </c>
      <c r="B3367" s="32"/>
    </row>
    <row r="3368" spans="1:2" x14ac:dyDescent="0.35">
      <c r="A3368" s="32" t="s">
        <v>1026</v>
      </c>
      <c r="B3368" s="32"/>
    </row>
    <row r="3369" spans="1:2" x14ac:dyDescent="0.35">
      <c r="A3369" s="32" t="s">
        <v>1027</v>
      </c>
      <c r="B3369" s="32"/>
    </row>
    <row r="3370" spans="1:2" x14ac:dyDescent="0.35">
      <c r="A3370" s="32" t="s">
        <v>1028</v>
      </c>
      <c r="B3370" s="32"/>
    </row>
    <row r="3371" spans="1:2" x14ac:dyDescent="0.35">
      <c r="A3371" s="32" t="s">
        <v>1029</v>
      </c>
      <c r="B3371" s="32"/>
    </row>
    <row r="3372" spans="1:2" x14ac:dyDescent="0.35">
      <c r="A3372" s="32" t="s">
        <v>1030</v>
      </c>
      <c r="B3372" s="32"/>
    </row>
    <row r="3373" spans="1:2" x14ac:dyDescent="0.35">
      <c r="A3373" s="32" t="s">
        <v>1031</v>
      </c>
      <c r="B3373" s="32"/>
    </row>
    <row r="3374" spans="1:2" x14ac:dyDescent="0.35">
      <c r="A3374" s="32" t="s">
        <v>1032</v>
      </c>
      <c r="B3374" s="32"/>
    </row>
    <row r="3375" spans="1:2" x14ac:dyDescent="0.35">
      <c r="A3375" s="32" t="s">
        <v>1033</v>
      </c>
      <c r="B3375" s="32"/>
    </row>
    <row r="3376" spans="1:2" x14ac:dyDescent="0.35">
      <c r="A3376" s="32" t="s">
        <v>1034</v>
      </c>
      <c r="B3376" s="32"/>
    </row>
    <row r="3377" spans="1:2" x14ac:dyDescent="0.35">
      <c r="A3377" s="32" t="s">
        <v>1035</v>
      </c>
      <c r="B3377" s="32"/>
    </row>
    <row r="3378" spans="1:2" x14ac:dyDescent="0.35">
      <c r="A3378" s="32" t="s">
        <v>1036</v>
      </c>
      <c r="B3378" s="32"/>
    </row>
    <row r="3379" spans="1:2" x14ac:dyDescent="0.35">
      <c r="A3379" s="32" t="s">
        <v>1037</v>
      </c>
      <c r="B3379" s="32"/>
    </row>
    <row r="3380" spans="1:2" x14ac:dyDescent="0.35">
      <c r="A3380" s="32" t="s">
        <v>1038</v>
      </c>
      <c r="B3380" s="32"/>
    </row>
    <row r="3381" spans="1:2" x14ac:dyDescent="0.35">
      <c r="A3381" s="32" t="s">
        <v>1039</v>
      </c>
      <c r="B3381" s="32"/>
    </row>
    <row r="3382" spans="1:2" x14ac:dyDescent="0.35">
      <c r="A3382" s="32" t="s">
        <v>1040</v>
      </c>
      <c r="B3382" s="32"/>
    </row>
    <row r="3383" spans="1:2" x14ac:dyDescent="0.35">
      <c r="A3383" s="32" t="s">
        <v>1041</v>
      </c>
      <c r="B3383" s="32"/>
    </row>
    <row r="3384" spans="1:2" x14ac:dyDescent="0.35">
      <c r="A3384" s="32" t="s">
        <v>1042</v>
      </c>
      <c r="B3384" s="32"/>
    </row>
    <row r="3385" spans="1:2" x14ac:dyDescent="0.35">
      <c r="A3385" s="32" t="s">
        <v>1043</v>
      </c>
      <c r="B3385" s="32"/>
    </row>
    <row r="3386" spans="1:2" x14ac:dyDescent="0.35">
      <c r="A3386" s="32" t="s">
        <v>1044</v>
      </c>
      <c r="B3386" s="32"/>
    </row>
    <row r="3387" spans="1:2" x14ac:dyDescent="0.35">
      <c r="A3387" s="32" t="s">
        <v>1045</v>
      </c>
      <c r="B3387" s="32"/>
    </row>
    <row r="3388" spans="1:2" x14ac:dyDescent="0.35">
      <c r="A3388" s="32" t="s">
        <v>1046</v>
      </c>
      <c r="B3388" s="32"/>
    </row>
    <row r="3389" spans="1:2" x14ac:dyDescent="0.35">
      <c r="A3389" s="32" t="s">
        <v>1047</v>
      </c>
      <c r="B3389" s="32"/>
    </row>
    <row r="3390" spans="1:2" x14ac:dyDescent="0.35">
      <c r="A3390" s="32" t="s">
        <v>1048</v>
      </c>
      <c r="B3390" s="32"/>
    </row>
    <row r="3391" spans="1:2" x14ac:dyDescent="0.35">
      <c r="A3391" s="32" t="s">
        <v>1049</v>
      </c>
      <c r="B3391" s="32"/>
    </row>
    <row r="3392" spans="1:2" x14ac:dyDescent="0.35">
      <c r="A3392" s="32" t="s">
        <v>1050</v>
      </c>
      <c r="B3392" s="32"/>
    </row>
    <row r="3393" spans="1:2" x14ac:dyDescent="0.35">
      <c r="A3393" s="32" t="s">
        <v>1051</v>
      </c>
      <c r="B3393" s="32"/>
    </row>
    <row r="3394" spans="1:2" x14ac:dyDescent="0.35">
      <c r="A3394" s="32" t="s">
        <v>1052</v>
      </c>
      <c r="B3394" s="32"/>
    </row>
    <row r="3395" spans="1:2" x14ac:dyDescent="0.35">
      <c r="A3395" s="32" t="s">
        <v>1053</v>
      </c>
      <c r="B3395" s="32"/>
    </row>
    <row r="3396" spans="1:2" x14ac:dyDescent="0.35">
      <c r="A3396" s="32" t="s">
        <v>1054</v>
      </c>
      <c r="B3396" s="32"/>
    </row>
    <row r="3397" spans="1:2" x14ac:dyDescent="0.35">
      <c r="A3397" s="32" t="s">
        <v>1055</v>
      </c>
      <c r="B3397" s="32"/>
    </row>
    <row r="3398" spans="1:2" x14ac:dyDescent="0.35">
      <c r="A3398" s="32" t="s">
        <v>1056</v>
      </c>
      <c r="B3398" s="32"/>
    </row>
    <row r="3399" spans="1:2" x14ac:dyDescent="0.35">
      <c r="A3399" s="32" t="s">
        <v>1057</v>
      </c>
      <c r="B3399" s="32"/>
    </row>
    <row r="3400" spans="1:2" x14ac:dyDescent="0.35">
      <c r="A3400" s="32" t="s">
        <v>1058</v>
      </c>
      <c r="B3400" s="32"/>
    </row>
    <row r="3401" spans="1:2" x14ac:dyDescent="0.35">
      <c r="A3401" s="32" t="s">
        <v>1059</v>
      </c>
      <c r="B3401" s="32"/>
    </row>
    <row r="3402" spans="1:2" x14ac:dyDescent="0.35">
      <c r="A3402" s="32" t="s">
        <v>1060</v>
      </c>
      <c r="B3402" s="32"/>
    </row>
    <row r="3403" spans="1:2" x14ac:dyDescent="0.35">
      <c r="A3403" s="32" t="s">
        <v>1061</v>
      </c>
      <c r="B3403" s="32"/>
    </row>
    <row r="3404" spans="1:2" x14ac:dyDescent="0.35">
      <c r="A3404" s="32" t="s">
        <v>1062</v>
      </c>
      <c r="B3404" s="32"/>
    </row>
    <row r="3405" spans="1:2" x14ac:dyDescent="0.35">
      <c r="A3405" s="32" t="s">
        <v>1063</v>
      </c>
      <c r="B3405" s="32"/>
    </row>
    <row r="3406" spans="1:2" x14ac:dyDescent="0.35">
      <c r="A3406" s="32" t="s">
        <v>1064</v>
      </c>
      <c r="B3406" s="32"/>
    </row>
    <row r="3407" spans="1:2" x14ac:dyDescent="0.35">
      <c r="A3407" s="32" t="s">
        <v>1065</v>
      </c>
      <c r="B3407" s="32"/>
    </row>
    <row r="3408" spans="1:2" x14ac:dyDescent="0.35">
      <c r="A3408" s="32" t="s">
        <v>1066</v>
      </c>
      <c r="B3408" s="32"/>
    </row>
    <row r="3409" spans="1:2" x14ac:dyDescent="0.35">
      <c r="A3409" s="32" t="s">
        <v>1067</v>
      </c>
      <c r="B3409" s="32"/>
    </row>
    <row r="3410" spans="1:2" x14ac:dyDescent="0.35">
      <c r="A3410" s="32" t="s">
        <v>1068</v>
      </c>
      <c r="B3410" s="32"/>
    </row>
    <row r="3411" spans="1:2" x14ac:dyDescent="0.35">
      <c r="A3411" s="32" t="s">
        <v>1069</v>
      </c>
      <c r="B3411" s="32"/>
    </row>
    <row r="3412" spans="1:2" x14ac:dyDescent="0.35">
      <c r="A3412" s="32" t="s">
        <v>1070</v>
      </c>
      <c r="B3412" s="32"/>
    </row>
    <row r="3413" spans="1:2" x14ac:dyDescent="0.35">
      <c r="A3413" s="32" t="s">
        <v>1071</v>
      </c>
      <c r="B3413" s="32"/>
    </row>
    <row r="3414" spans="1:2" x14ac:dyDescent="0.35">
      <c r="A3414" s="32" t="s">
        <v>1072</v>
      </c>
      <c r="B3414" s="32"/>
    </row>
    <row r="3415" spans="1:2" x14ac:dyDescent="0.35">
      <c r="A3415" s="32" t="s">
        <v>1073</v>
      </c>
      <c r="B3415" s="32"/>
    </row>
    <row r="3416" spans="1:2" x14ac:dyDescent="0.35">
      <c r="A3416" s="32" t="s">
        <v>1074</v>
      </c>
      <c r="B3416" s="32"/>
    </row>
    <row r="3417" spans="1:2" x14ac:dyDescent="0.35">
      <c r="A3417" s="32" t="s">
        <v>1075</v>
      </c>
      <c r="B3417" s="32"/>
    </row>
    <row r="3418" spans="1:2" x14ac:dyDescent="0.35">
      <c r="A3418" s="32" t="s">
        <v>1076</v>
      </c>
      <c r="B3418" s="32"/>
    </row>
    <row r="3419" spans="1:2" x14ac:dyDescent="0.35">
      <c r="A3419" s="32" t="s">
        <v>1077</v>
      </c>
      <c r="B3419" s="32"/>
    </row>
    <row r="3420" spans="1:2" x14ac:dyDescent="0.35">
      <c r="A3420" s="32" t="s">
        <v>1078</v>
      </c>
      <c r="B3420" s="32"/>
    </row>
    <row r="3421" spans="1:2" x14ac:dyDescent="0.35">
      <c r="A3421" s="32" t="s">
        <v>1079</v>
      </c>
      <c r="B3421" s="32"/>
    </row>
    <row r="3422" spans="1:2" x14ac:dyDescent="0.35">
      <c r="A3422" s="32" t="s">
        <v>1080</v>
      </c>
      <c r="B3422" s="32"/>
    </row>
    <row r="3423" spans="1:2" x14ac:dyDescent="0.35">
      <c r="A3423" s="32" t="s">
        <v>1081</v>
      </c>
      <c r="B3423" s="32"/>
    </row>
    <row r="3424" spans="1:2" x14ac:dyDescent="0.35">
      <c r="A3424" s="32" t="s">
        <v>1082</v>
      </c>
      <c r="B3424" s="32"/>
    </row>
    <row r="3425" spans="1:2" x14ac:dyDescent="0.35">
      <c r="A3425" s="32" t="s">
        <v>1083</v>
      </c>
      <c r="B3425" s="32"/>
    </row>
    <row r="3426" spans="1:2" x14ac:dyDescent="0.35">
      <c r="A3426" s="32" t="s">
        <v>1084</v>
      </c>
      <c r="B3426" s="32"/>
    </row>
    <row r="3427" spans="1:2" x14ac:dyDescent="0.35">
      <c r="A3427" s="32" t="s">
        <v>1085</v>
      </c>
      <c r="B3427" s="32"/>
    </row>
    <row r="3428" spans="1:2" x14ac:dyDescent="0.35">
      <c r="A3428" s="32" t="s">
        <v>1086</v>
      </c>
      <c r="B3428" s="32"/>
    </row>
    <row r="3429" spans="1:2" x14ac:dyDescent="0.35">
      <c r="A3429" s="32" t="s">
        <v>1087</v>
      </c>
      <c r="B3429" s="32"/>
    </row>
    <row r="3430" spans="1:2" x14ac:dyDescent="0.35">
      <c r="A3430" s="32" t="s">
        <v>1088</v>
      </c>
      <c r="B3430" s="32"/>
    </row>
    <row r="3431" spans="1:2" x14ac:dyDescent="0.35">
      <c r="A3431" s="32" t="s">
        <v>1089</v>
      </c>
      <c r="B3431" s="32"/>
    </row>
    <row r="3432" spans="1:2" x14ac:dyDescent="0.35">
      <c r="A3432" s="32" t="s">
        <v>1090</v>
      </c>
      <c r="B3432" s="32"/>
    </row>
    <row r="3433" spans="1:2" x14ac:dyDescent="0.35">
      <c r="A3433" s="32" t="s">
        <v>1091</v>
      </c>
      <c r="B3433" s="32"/>
    </row>
    <row r="3434" spans="1:2" x14ac:dyDescent="0.35">
      <c r="A3434" s="32" t="s">
        <v>1092</v>
      </c>
      <c r="B3434" s="32"/>
    </row>
    <row r="3435" spans="1:2" x14ac:dyDescent="0.35">
      <c r="A3435" s="32" t="s">
        <v>1093</v>
      </c>
      <c r="B3435" s="32"/>
    </row>
    <row r="3436" spans="1:2" x14ac:dyDescent="0.35">
      <c r="A3436" s="32" t="s">
        <v>1094</v>
      </c>
      <c r="B3436" s="32"/>
    </row>
    <row r="3437" spans="1:2" x14ac:dyDescent="0.35">
      <c r="A3437" s="32" t="s">
        <v>1095</v>
      </c>
      <c r="B3437" s="32"/>
    </row>
    <row r="3438" spans="1:2" x14ac:dyDescent="0.35">
      <c r="A3438" s="32" t="s">
        <v>1096</v>
      </c>
      <c r="B3438" s="32"/>
    </row>
    <row r="3439" spans="1:2" x14ac:dyDescent="0.35">
      <c r="A3439" s="32" t="s">
        <v>1097</v>
      </c>
      <c r="B3439" s="32"/>
    </row>
    <row r="3440" spans="1:2" x14ac:dyDescent="0.35">
      <c r="A3440" s="32" t="s">
        <v>1098</v>
      </c>
      <c r="B3440" s="32"/>
    </row>
    <row r="3441" spans="1:2" x14ac:dyDescent="0.35">
      <c r="A3441" s="32" t="s">
        <v>1099</v>
      </c>
      <c r="B3441" s="32"/>
    </row>
    <row r="3442" spans="1:2" x14ac:dyDescent="0.35">
      <c r="A3442" s="32" t="s">
        <v>1100</v>
      </c>
      <c r="B3442" s="32"/>
    </row>
    <row r="3443" spans="1:2" x14ac:dyDescent="0.35">
      <c r="A3443" s="32" t="s">
        <v>1101</v>
      </c>
      <c r="B3443" s="32"/>
    </row>
    <row r="3444" spans="1:2" x14ac:dyDescent="0.35">
      <c r="A3444" s="32" t="s">
        <v>1102</v>
      </c>
      <c r="B3444" s="32"/>
    </row>
    <row r="3445" spans="1:2" x14ac:dyDescent="0.35">
      <c r="A3445" s="32" t="s">
        <v>1103</v>
      </c>
      <c r="B3445" s="32"/>
    </row>
    <row r="3446" spans="1:2" x14ac:dyDescent="0.35">
      <c r="A3446" s="32" t="s">
        <v>1104</v>
      </c>
      <c r="B3446" s="32"/>
    </row>
    <row r="3447" spans="1:2" x14ac:dyDescent="0.35">
      <c r="A3447" s="32" t="s">
        <v>1740</v>
      </c>
      <c r="B3447" s="32"/>
    </row>
    <row r="3448" spans="1:2" x14ac:dyDescent="0.35">
      <c r="A3448" s="32" t="s">
        <v>1741</v>
      </c>
      <c r="B3448" s="32"/>
    </row>
    <row r="3449" spans="1:2" x14ac:dyDescent="0.35">
      <c r="A3449" s="32" t="s">
        <v>1742</v>
      </c>
      <c r="B3449" s="32"/>
    </row>
    <row r="3450" spans="1:2" x14ac:dyDescent="0.35">
      <c r="A3450" s="32" t="s">
        <v>1743</v>
      </c>
      <c r="B3450" s="32"/>
    </row>
    <row r="3451" spans="1:2" x14ac:dyDescent="0.35">
      <c r="A3451" s="32" t="s">
        <v>1107</v>
      </c>
      <c r="B3451" s="32"/>
    </row>
    <row r="3452" spans="1:2" x14ac:dyDescent="0.35">
      <c r="A3452" s="32" t="s">
        <v>1108</v>
      </c>
      <c r="B3452" s="32"/>
    </row>
    <row r="3453" spans="1:2" x14ac:dyDescent="0.35">
      <c r="A3453" s="32" t="s">
        <v>1109</v>
      </c>
      <c r="B3453" s="32"/>
    </row>
    <row r="3454" spans="1:2" x14ac:dyDescent="0.35">
      <c r="A3454" s="32" t="s">
        <v>1110</v>
      </c>
      <c r="B3454" s="32"/>
    </row>
    <row r="3455" spans="1:2" x14ac:dyDescent="0.35">
      <c r="A3455" s="32" t="s">
        <v>1111</v>
      </c>
      <c r="B3455" s="32"/>
    </row>
    <row r="3456" spans="1:2" x14ac:dyDescent="0.35">
      <c r="A3456" s="32" t="s">
        <v>1112</v>
      </c>
      <c r="B3456" s="32"/>
    </row>
    <row r="3457" spans="1:2" x14ac:dyDescent="0.35">
      <c r="A3457" s="32" t="s">
        <v>1113</v>
      </c>
      <c r="B3457" s="32"/>
    </row>
    <row r="3458" spans="1:2" x14ac:dyDescent="0.35">
      <c r="A3458" s="32" t="s">
        <v>1114</v>
      </c>
      <c r="B3458" s="32"/>
    </row>
    <row r="3459" spans="1:2" x14ac:dyDescent="0.35">
      <c r="A3459" s="32" t="s">
        <v>1115</v>
      </c>
      <c r="B3459" s="32"/>
    </row>
    <row r="3460" spans="1:2" x14ac:dyDescent="0.35">
      <c r="A3460" s="32" t="s">
        <v>1116</v>
      </c>
      <c r="B3460" s="32"/>
    </row>
    <row r="3461" spans="1:2" x14ac:dyDescent="0.35">
      <c r="A3461" s="32" t="s">
        <v>1117</v>
      </c>
      <c r="B3461" s="32"/>
    </row>
    <row r="3462" spans="1:2" x14ac:dyDescent="0.35">
      <c r="A3462" s="32" t="s">
        <v>1118</v>
      </c>
      <c r="B3462" s="32"/>
    </row>
    <row r="3463" spans="1:2" x14ac:dyDescent="0.35">
      <c r="A3463" s="32" t="s">
        <v>1119</v>
      </c>
      <c r="B3463" s="32"/>
    </row>
    <row r="3464" spans="1:2" x14ac:dyDescent="0.35">
      <c r="A3464" s="32" t="s">
        <v>1120</v>
      </c>
      <c r="B3464" s="32"/>
    </row>
    <row r="3465" spans="1:2" x14ac:dyDescent="0.35">
      <c r="A3465" s="32" t="s">
        <v>1121</v>
      </c>
      <c r="B3465" s="32"/>
    </row>
    <row r="3466" spans="1:2" x14ac:dyDescent="0.35">
      <c r="A3466" s="32" t="s">
        <v>1122</v>
      </c>
      <c r="B3466" s="32"/>
    </row>
    <row r="3467" spans="1:2" x14ac:dyDescent="0.35">
      <c r="A3467" s="32" t="s">
        <v>1123</v>
      </c>
      <c r="B3467" s="32"/>
    </row>
    <row r="3468" spans="1:2" x14ac:dyDescent="0.35">
      <c r="A3468" s="32" t="s">
        <v>1124</v>
      </c>
      <c r="B3468" s="32"/>
    </row>
    <row r="3469" spans="1:2" x14ac:dyDescent="0.35">
      <c r="A3469" s="32" t="s">
        <v>1125</v>
      </c>
      <c r="B3469" s="32"/>
    </row>
    <row r="3470" spans="1:2" x14ac:dyDescent="0.35">
      <c r="A3470" s="32" t="s">
        <v>1126</v>
      </c>
      <c r="B3470" s="32"/>
    </row>
    <row r="3471" spans="1:2" x14ac:dyDescent="0.35">
      <c r="A3471" s="32" t="s">
        <v>1127</v>
      </c>
      <c r="B3471" s="32"/>
    </row>
    <row r="3472" spans="1:2" x14ac:dyDescent="0.35">
      <c r="A3472" s="32" t="s">
        <v>1128</v>
      </c>
      <c r="B3472" s="32"/>
    </row>
    <row r="3473" spans="1:2" x14ac:dyDescent="0.35">
      <c r="A3473" s="32" t="s">
        <v>1129</v>
      </c>
      <c r="B3473" s="32"/>
    </row>
    <row r="3474" spans="1:2" x14ac:dyDescent="0.35">
      <c r="A3474" s="32" t="s">
        <v>1130</v>
      </c>
      <c r="B3474" s="32"/>
    </row>
    <row r="3475" spans="1:2" x14ac:dyDescent="0.35">
      <c r="A3475" s="32" t="s">
        <v>1131</v>
      </c>
      <c r="B3475" s="32"/>
    </row>
    <row r="3476" spans="1:2" x14ac:dyDescent="0.35">
      <c r="A3476" s="32" t="s">
        <v>1132</v>
      </c>
      <c r="B3476" s="32"/>
    </row>
    <row r="3477" spans="1:2" x14ac:dyDescent="0.35">
      <c r="A3477" s="32" t="s">
        <v>1133</v>
      </c>
      <c r="B3477" s="32"/>
    </row>
    <row r="3478" spans="1:2" x14ac:dyDescent="0.35">
      <c r="A3478" s="32" t="s">
        <v>1134</v>
      </c>
      <c r="B3478" s="32"/>
    </row>
    <row r="3479" spans="1:2" x14ac:dyDescent="0.35">
      <c r="A3479" s="32" t="s">
        <v>1744</v>
      </c>
      <c r="B3479" s="32"/>
    </row>
    <row r="3480" spans="1:2" x14ac:dyDescent="0.35">
      <c r="A3480" s="32" t="s">
        <v>1135</v>
      </c>
      <c r="B3480" s="32"/>
    </row>
    <row r="3481" spans="1:2" x14ac:dyDescent="0.35">
      <c r="A3481" s="32" t="s">
        <v>1136</v>
      </c>
      <c r="B3481" s="32"/>
    </row>
    <row r="3482" spans="1:2" x14ac:dyDescent="0.35">
      <c r="A3482" s="32" t="s">
        <v>1137</v>
      </c>
      <c r="B3482" s="32"/>
    </row>
    <row r="3483" spans="1:2" x14ac:dyDescent="0.35">
      <c r="A3483" s="32" t="s">
        <v>1138</v>
      </c>
      <c r="B3483" s="32"/>
    </row>
    <row r="3484" spans="1:2" x14ac:dyDescent="0.35">
      <c r="A3484" s="32" t="s">
        <v>1139</v>
      </c>
      <c r="B3484" s="32"/>
    </row>
    <row r="3485" spans="1:2" x14ac:dyDescent="0.35">
      <c r="A3485" s="32" t="s">
        <v>1140</v>
      </c>
      <c r="B3485" s="32"/>
    </row>
    <row r="3486" spans="1:2" x14ac:dyDescent="0.35">
      <c r="A3486" s="32" t="s">
        <v>1141</v>
      </c>
      <c r="B3486" s="32"/>
    </row>
    <row r="3487" spans="1:2" x14ac:dyDescent="0.35">
      <c r="A3487" s="32" t="s">
        <v>1142</v>
      </c>
      <c r="B3487" s="32"/>
    </row>
    <row r="3488" spans="1:2" x14ac:dyDescent="0.35">
      <c r="A3488" s="32" t="s">
        <v>1143</v>
      </c>
      <c r="B3488" s="32"/>
    </row>
    <row r="3489" spans="1:2" x14ac:dyDescent="0.35">
      <c r="A3489" s="32" t="s">
        <v>1144</v>
      </c>
      <c r="B3489" s="32"/>
    </row>
    <row r="3490" spans="1:2" x14ac:dyDescent="0.35">
      <c r="A3490" s="32" t="s">
        <v>1145</v>
      </c>
      <c r="B3490" s="32"/>
    </row>
    <row r="3491" spans="1:2" x14ac:dyDescent="0.35">
      <c r="A3491" s="32" t="s">
        <v>1146</v>
      </c>
      <c r="B3491" s="32"/>
    </row>
    <row r="3492" spans="1:2" x14ac:dyDescent="0.35">
      <c r="A3492" s="32" t="s">
        <v>1147</v>
      </c>
      <c r="B3492" s="32"/>
    </row>
    <row r="3493" spans="1:2" x14ac:dyDescent="0.35">
      <c r="A3493" s="32" t="s">
        <v>1148</v>
      </c>
      <c r="B3493" s="32"/>
    </row>
    <row r="3494" spans="1:2" x14ac:dyDescent="0.35">
      <c r="A3494" s="32" t="s">
        <v>1149</v>
      </c>
      <c r="B3494" s="32"/>
    </row>
    <row r="3495" spans="1:2" x14ac:dyDescent="0.35">
      <c r="A3495" s="32" t="s">
        <v>1150</v>
      </c>
      <c r="B3495" s="32"/>
    </row>
    <row r="3496" spans="1:2" x14ac:dyDescent="0.35">
      <c r="A3496" s="32" t="s">
        <v>1745</v>
      </c>
      <c r="B3496" s="32"/>
    </row>
    <row r="3497" spans="1:2" x14ac:dyDescent="0.35">
      <c r="A3497" s="32" t="s">
        <v>1746</v>
      </c>
      <c r="B3497" s="32"/>
    </row>
    <row r="3498" spans="1:2" x14ac:dyDescent="0.35">
      <c r="A3498" s="32" t="s">
        <v>1747</v>
      </c>
      <c r="B3498" s="32"/>
    </row>
    <row r="3499" spans="1:2" x14ac:dyDescent="0.35">
      <c r="A3499" s="32" t="s">
        <v>1748</v>
      </c>
      <c r="B3499" s="32"/>
    </row>
    <row r="3500" spans="1:2" x14ac:dyDescent="0.35">
      <c r="A3500" s="32" t="s">
        <v>1155</v>
      </c>
      <c r="B3500" s="32"/>
    </row>
    <row r="3501" spans="1:2" x14ac:dyDescent="0.35">
      <c r="A3501" s="32" t="s">
        <v>1156</v>
      </c>
      <c r="B3501" s="32"/>
    </row>
    <row r="3502" spans="1:2" x14ac:dyDescent="0.35">
      <c r="A3502" s="32" t="s">
        <v>1157</v>
      </c>
      <c r="B3502" s="32"/>
    </row>
    <row r="3503" spans="1:2" x14ac:dyDescent="0.35">
      <c r="A3503" s="32" t="s">
        <v>1158</v>
      </c>
      <c r="B3503" s="32"/>
    </row>
    <row r="3504" spans="1:2" x14ac:dyDescent="0.35">
      <c r="A3504" s="32" t="s">
        <v>1159</v>
      </c>
      <c r="B3504" s="32"/>
    </row>
    <row r="3505" spans="1:2" x14ac:dyDescent="0.35">
      <c r="A3505" s="32" t="s">
        <v>1160</v>
      </c>
      <c r="B3505" s="32"/>
    </row>
    <row r="3506" spans="1:2" x14ac:dyDescent="0.35">
      <c r="A3506" s="32" t="s">
        <v>1161</v>
      </c>
      <c r="B3506" s="32"/>
    </row>
    <row r="3507" spans="1:2" x14ac:dyDescent="0.35">
      <c r="A3507" s="32" t="s">
        <v>1162</v>
      </c>
      <c r="B3507" s="32"/>
    </row>
    <row r="3508" spans="1:2" x14ac:dyDescent="0.35">
      <c r="A3508" s="32" t="s">
        <v>1163</v>
      </c>
      <c r="B3508" s="32"/>
    </row>
    <row r="3509" spans="1:2" x14ac:dyDescent="0.35">
      <c r="A3509" s="32" t="s">
        <v>1164</v>
      </c>
      <c r="B3509" s="32"/>
    </row>
    <row r="3510" spans="1:2" x14ac:dyDescent="0.35">
      <c r="A3510" s="32" t="s">
        <v>1165</v>
      </c>
      <c r="B3510" s="32"/>
    </row>
    <row r="3511" spans="1:2" x14ac:dyDescent="0.35">
      <c r="A3511" s="32" t="s">
        <v>1166</v>
      </c>
      <c r="B3511" s="32"/>
    </row>
    <row r="3512" spans="1:2" x14ac:dyDescent="0.35">
      <c r="A3512" s="32" t="s">
        <v>1167</v>
      </c>
      <c r="B3512" s="32"/>
    </row>
    <row r="3513" spans="1:2" x14ac:dyDescent="0.35">
      <c r="A3513" s="32" t="s">
        <v>1168</v>
      </c>
      <c r="B3513" s="32"/>
    </row>
    <row r="3514" spans="1:2" x14ac:dyDescent="0.35">
      <c r="A3514" s="32" t="s">
        <v>1169</v>
      </c>
      <c r="B3514" s="32"/>
    </row>
    <row r="3515" spans="1:2" x14ac:dyDescent="0.35">
      <c r="A3515" s="32" t="s">
        <v>1170</v>
      </c>
      <c r="B3515" s="32"/>
    </row>
    <row r="3516" spans="1:2" x14ac:dyDescent="0.35">
      <c r="A3516" s="32" t="s">
        <v>1171</v>
      </c>
      <c r="B3516" s="32"/>
    </row>
    <row r="3517" spans="1:2" x14ac:dyDescent="0.35">
      <c r="A3517" s="32" t="s">
        <v>1172</v>
      </c>
      <c r="B3517" s="32"/>
    </row>
    <row r="3518" spans="1:2" x14ac:dyDescent="0.35">
      <c r="A3518" s="32" t="s">
        <v>1173</v>
      </c>
      <c r="B3518" s="32"/>
    </row>
    <row r="3519" spans="1:2" x14ac:dyDescent="0.35">
      <c r="A3519" s="32" t="s">
        <v>1174</v>
      </c>
      <c r="B3519" s="32"/>
    </row>
    <row r="3520" spans="1:2" x14ac:dyDescent="0.35">
      <c r="A3520" s="32" t="s">
        <v>1175</v>
      </c>
      <c r="B3520" s="32"/>
    </row>
    <row r="3521" spans="1:2" x14ac:dyDescent="0.35">
      <c r="A3521" s="32" t="s">
        <v>1176</v>
      </c>
      <c r="B3521" s="32"/>
    </row>
    <row r="3522" spans="1:2" x14ac:dyDescent="0.35">
      <c r="A3522" s="32" t="s">
        <v>1749</v>
      </c>
      <c r="B3522" s="32"/>
    </row>
    <row r="3523" spans="1:2" x14ac:dyDescent="0.35">
      <c r="A3523" s="32" t="s">
        <v>1750</v>
      </c>
      <c r="B3523" s="32"/>
    </row>
    <row r="3524" spans="1:2" x14ac:dyDescent="0.35">
      <c r="A3524" s="32" t="s">
        <v>1751</v>
      </c>
      <c r="B3524" s="32"/>
    </row>
    <row r="3525" spans="1:2" x14ac:dyDescent="0.35">
      <c r="A3525" s="32" t="s">
        <v>1177</v>
      </c>
      <c r="B3525" s="32"/>
    </row>
    <row r="3526" spans="1:2" x14ac:dyDescent="0.35">
      <c r="A3526" s="32" t="s">
        <v>1752</v>
      </c>
      <c r="B3526" s="32"/>
    </row>
    <row r="3527" spans="1:2" x14ac:dyDescent="0.35">
      <c r="A3527" s="32" t="s">
        <v>1178</v>
      </c>
      <c r="B3527" s="32"/>
    </row>
    <row r="3528" spans="1:2" x14ac:dyDescent="0.35">
      <c r="A3528" s="32" t="s">
        <v>1179</v>
      </c>
      <c r="B3528" s="32"/>
    </row>
    <row r="3529" spans="1:2" x14ac:dyDescent="0.35">
      <c r="A3529" s="32" t="s">
        <v>1180</v>
      </c>
      <c r="B3529" s="32"/>
    </row>
    <row r="3530" spans="1:2" x14ac:dyDescent="0.35">
      <c r="A3530" s="32" t="s">
        <v>1753</v>
      </c>
      <c r="B3530" s="32"/>
    </row>
    <row r="3531" spans="1:2" x14ac:dyDescent="0.35">
      <c r="A3531" s="32" t="s">
        <v>1182</v>
      </c>
      <c r="B3531" s="32"/>
    </row>
    <row r="3532" spans="1:2" x14ac:dyDescent="0.35">
      <c r="A3532" s="32" t="s">
        <v>1754</v>
      </c>
      <c r="B3532" s="32"/>
    </row>
    <row r="3533" spans="1:2" x14ac:dyDescent="0.35">
      <c r="A3533" s="32" t="s">
        <v>1755</v>
      </c>
      <c r="B3533" s="32"/>
    </row>
    <row r="3534" spans="1:2" x14ac:dyDescent="0.35">
      <c r="A3534" s="32" t="s">
        <v>1184</v>
      </c>
      <c r="B3534" s="32"/>
    </row>
    <row r="3535" spans="1:2" x14ac:dyDescent="0.35">
      <c r="A3535" s="32" t="s">
        <v>1185</v>
      </c>
      <c r="B3535" s="32"/>
    </row>
    <row r="3536" spans="1:2" x14ac:dyDescent="0.35">
      <c r="A3536" s="32" t="s">
        <v>1186</v>
      </c>
      <c r="B3536" s="32"/>
    </row>
    <row r="3537" spans="1:2" x14ac:dyDescent="0.35">
      <c r="A3537" s="32" t="s">
        <v>1187</v>
      </c>
      <c r="B3537" s="32"/>
    </row>
    <row r="3538" spans="1:2" x14ac:dyDescent="0.35">
      <c r="A3538" s="32" t="s">
        <v>1188</v>
      </c>
      <c r="B3538" s="32"/>
    </row>
    <row r="3539" spans="1:2" x14ac:dyDescent="0.35">
      <c r="A3539" s="32" t="s">
        <v>1756</v>
      </c>
      <c r="B3539" s="32"/>
    </row>
    <row r="3540" spans="1:2" x14ac:dyDescent="0.35">
      <c r="A3540" s="32" t="s">
        <v>1189</v>
      </c>
      <c r="B3540" s="32"/>
    </row>
    <row r="3541" spans="1:2" x14ac:dyDescent="0.35">
      <c r="A3541" s="32" t="s">
        <v>1190</v>
      </c>
      <c r="B3541" s="32"/>
    </row>
    <row r="3542" spans="1:2" x14ac:dyDescent="0.35">
      <c r="A3542" s="32" t="s">
        <v>1191</v>
      </c>
      <c r="B3542" s="32"/>
    </row>
    <row r="3543" spans="1:2" x14ac:dyDescent="0.35">
      <c r="A3543" s="32" t="s">
        <v>1192</v>
      </c>
      <c r="B3543" s="32"/>
    </row>
    <row r="3544" spans="1:2" x14ac:dyDescent="0.35">
      <c r="A3544" s="32" t="s">
        <v>1757</v>
      </c>
      <c r="B3544" s="32"/>
    </row>
    <row r="3545" spans="1:2" x14ac:dyDescent="0.35">
      <c r="A3545" s="32" t="s">
        <v>1193</v>
      </c>
      <c r="B3545" s="32"/>
    </row>
    <row r="3546" spans="1:2" x14ac:dyDescent="0.35">
      <c r="A3546" s="32" t="s">
        <v>1758</v>
      </c>
      <c r="B3546" s="32"/>
    </row>
    <row r="3547" spans="1:2" x14ac:dyDescent="0.35">
      <c r="A3547" s="32" t="s">
        <v>1759</v>
      </c>
      <c r="B3547" s="32"/>
    </row>
    <row r="3548" spans="1:2" x14ac:dyDescent="0.35">
      <c r="A3548" s="32" t="s">
        <v>1194</v>
      </c>
      <c r="B3548" s="32"/>
    </row>
    <row r="3549" spans="1:2" x14ac:dyDescent="0.35">
      <c r="A3549" s="32" t="s">
        <v>1195</v>
      </c>
      <c r="B3549" s="32"/>
    </row>
    <row r="3550" spans="1:2" x14ac:dyDescent="0.35">
      <c r="A3550" s="32" t="s">
        <v>1196</v>
      </c>
      <c r="B3550" s="32"/>
    </row>
    <row r="3551" spans="1:2" x14ac:dyDescent="0.35">
      <c r="A3551" s="32" t="s">
        <v>1197</v>
      </c>
      <c r="B3551" s="32"/>
    </row>
    <row r="3552" spans="1:2" x14ac:dyDescent="0.35">
      <c r="A3552" s="32" t="s">
        <v>1760</v>
      </c>
      <c r="B3552" s="32"/>
    </row>
    <row r="3553" spans="1:2" x14ac:dyDescent="0.35">
      <c r="A3553" s="32" t="s">
        <v>1198</v>
      </c>
      <c r="B3553" s="32"/>
    </row>
    <row r="3554" spans="1:2" x14ac:dyDescent="0.35">
      <c r="A3554" s="32" t="s">
        <v>1199</v>
      </c>
      <c r="B3554" s="32"/>
    </row>
    <row r="3555" spans="1:2" x14ac:dyDescent="0.35">
      <c r="A3555" s="32" t="s">
        <v>1200</v>
      </c>
      <c r="B3555" s="32"/>
    </row>
    <row r="3556" spans="1:2" x14ac:dyDescent="0.35">
      <c r="A3556" s="32" t="s">
        <v>1201</v>
      </c>
      <c r="B3556" s="32"/>
    </row>
    <row r="3557" spans="1:2" x14ac:dyDescent="0.35">
      <c r="A3557" s="32" t="s">
        <v>1202</v>
      </c>
      <c r="B3557" s="32"/>
    </row>
    <row r="3558" spans="1:2" x14ac:dyDescent="0.35">
      <c r="A3558" s="32" t="s">
        <v>1761</v>
      </c>
      <c r="B3558" s="32"/>
    </row>
    <row r="3559" spans="1:2" x14ac:dyDescent="0.35">
      <c r="A3559" s="32" t="s">
        <v>1762</v>
      </c>
      <c r="B3559" s="32"/>
    </row>
    <row r="3560" spans="1:2" x14ac:dyDescent="0.35">
      <c r="A3560" s="32" t="s">
        <v>1203</v>
      </c>
      <c r="B3560" s="32"/>
    </row>
    <row r="3561" spans="1:2" x14ac:dyDescent="0.35">
      <c r="A3561" s="32" t="s">
        <v>1204</v>
      </c>
      <c r="B3561" s="32"/>
    </row>
    <row r="3562" spans="1:2" x14ac:dyDescent="0.35">
      <c r="A3562" s="32" t="s">
        <v>1763</v>
      </c>
      <c r="B3562" s="32"/>
    </row>
    <row r="3563" spans="1:2" x14ac:dyDescent="0.35">
      <c r="A3563" s="32" t="s">
        <v>1764</v>
      </c>
      <c r="B3563" s="32"/>
    </row>
    <row r="3564" spans="1:2" x14ac:dyDescent="0.35">
      <c r="A3564" s="32" t="s">
        <v>1765</v>
      </c>
      <c r="B3564" s="32"/>
    </row>
    <row r="3565" spans="1:2" x14ac:dyDescent="0.35">
      <c r="A3565" s="32" t="s">
        <v>1206</v>
      </c>
      <c r="B3565" s="32"/>
    </row>
    <row r="3566" spans="1:2" x14ac:dyDescent="0.35">
      <c r="A3566" s="32" t="s">
        <v>1207</v>
      </c>
      <c r="B3566" s="32"/>
    </row>
    <row r="3567" spans="1:2" x14ac:dyDescent="0.35">
      <c r="A3567" s="32" t="s">
        <v>1766</v>
      </c>
      <c r="B3567" s="32"/>
    </row>
    <row r="3568" spans="1:2" x14ac:dyDescent="0.35">
      <c r="A3568" s="32" t="s">
        <v>1208</v>
      </c>
      <c r="B3568" s="32"/>
    </row>
    <row r="3569" spans="1:2" x14ac:dyDescent="0.35">
      <c r="A3569" s="32" t="s">
        <v>1209</v>
      </c>
      <c r="B3569" s="32"/>
    </row>
    <row r="3570" spans="1:2" x14ac:dyDescent="0.35">
      <c r="A3570" s="32" t="s">
        <v>1210</v>
      </c>
      <c r="B3570" s="32"/>
    </row>
    <row r="3571" spans="1:2" x14ac:dyDescent="0.35">
      <c r="A3571" s="32" t="s">
        <v>1211</v>
      </c>
      <c r="B3571" s="32"/>
    </row>
    <row r="3572" spans="1:2" x14ac:dyDescent="0.35">
      <c r="A3572" s="32" t="s">
        <v>1767</v>
      </c>
      <c r="B3572" s="32"/>
    </row>
    <row r="3573" spans="1:2" x14ac:dyDescent="0.35">
      <c r="A3573" s="32" t="s">
        <v>1213</v>
      </c>
      <c r="B3573" s="32"/>
    </row>
    <row r="3574" spans="1:2" x14ac:dyDescent="0.35">
      <c r="A3574" s="32" t="s">
        <v>1214</v>
      </c>
      <c r="B3574" s="32"/>
    </row>
    <row r="3575" spans="1:2" x14ac:dyDescent="0.35">
      <c r="A3575" s="32" t="s">
        <v>1215</v>
      </c>
      <c r="B3575" s="32"/>
    </row>
    <row r="3576" spans="1:2" x14ac:dyDescent="0.35">
      <c r="A3576" s="32" t="s">
        <v>1216</v>
      </c>
      <c r="B3576" s="32"/>
    </row>
    <row r="3577" spans="1:2" x14ac:dyDescent="0.35">
      <c r="A3577" s="32" t="s">
        <v>1217</v>
      </c>
      <c r="B3577" s="32"/>
    </row>
    <row r="3578" spans="1:2" x14ac:dyDescent="0.35">
      <c r="A3578" s="32" t="s">
        <v>1768</v>
      </c>
      <c r="B3578" s="32"/>
    </row>
    <row r="3579" spans="1:2" x14ac:dyDescent="0.35">
      <c r="A3579" s="32" t="s">
        <v>1769</v>
      </c>
      <c r="B3579" s="32"/>
    </row>
    <row r="3580" spans="1:2" x14ac:dyDescent="0.35">
      <c r="A3580" s="32" t="s">
        <v>1770</v>
      </c>
      <c r="B3580" s="32"/>
    </row>
    <row r="3581" spans="1:2" x14ac:dyDescent="0.35">
      <c r="A3581" s="32" t="s">
        <v>1771</v>
      </c>
      <c r="B3581" s="32"/>
    </row>
    <row r="3582" spans="1:2" x14ac:dyDescent="0.35">
      <c r="A3582" s="32" t="s">
        <v>1218</v>
      </c>
      <c r="B3582" s="32"/>
    </row>
    <row r="3583" spans="1:2" x14ac:dyDescent="0.35">
      <c r="A3583" s="32" t="s">
        <v>1772</v>
      </c>
      <c r="B3583" s="32"/>
    </row>
    <row r="3584" spans="1:2" x14ac:dyDescent="0.35">
      <c r="A3584" s="32" t="s">
        <v>1219</v>
      </c>
      <c r="B3584" s="32"/>
    </row>
    <row r="3585" spans="1:2" x14ac:dyDescent="0.35">
      <c r="A3585" s="32" t="s">
        <v>1220</v>
      </c>
      <c r="B3585" s="32"/>
    </row>
    <row r="3586" spans="1:2" x14ac:dyDescent="0.35">
      <c r="A3586" s="32" t="s">
        <v>1221</v>
      </c>
      <c r="B3586" s="32"/>
    </row>
    <row r="3587" spans="1:2" x14ac:dyDescent="0.35">
      <c r="A3587" s="32" t="s">
        <v>1222</v>
      </c>
      <c r="B3587" s="32"/>
    </row>
    <row r="3588" spans="1:2" x14ac:dyDescent="0.35">
      <c r="A3588" s="32" t="s">
        <v>1223</v>
      </c>
      <c r="B3588" s="32"/>
    </row>
    <row r="3589" spans="1:2" x14ac:dyDescent="0.35">
      <c r="A3589" s="32" t="s">
        <v>1224</v>
      </c>
      <c r="B3589" s="32"/>
    </row>
    <row r="3590" spans="1:2" x14ac:dyDescent="0.35">
      <c r="A3590" s="32" t="s">
        <v>1225</v>
      </c>
      <c r="B3590" s="32"/>
    </row>
    <row r="3591" spans="1:2" x14ac:dyDescent="0.35">
      <c r="A3591" s="32" t="s">
        <v>1226</v>
      </c>
      <c r="B3591" s="32"/>
    </row>
    <row r="3592" spans="1:2" x14ac:dyDescent="0.35">
      <c r="A3592" s="32" t="s">
        <v>1227</v>
      </c>
      <c r="B3592" s="32"/>
    </row>
    <row r="3593" spans="1:2" x14ac:dyDescent="0.35">
      <c r="A3593" s="32" t="s">
        <v>1228</v>
      </c>
      <c r="B3593" s="32"/>
    </row>
    <row r="3594" spans="1:2" x14ac:dyDescent="0.35">
      <c r="A3594" s="32" t="s">
        <v>1773</v>
      </c>
      <c r="B3594" s="32"/>
    </row>
    <row r="3595" spans="1:2" x14ac:dyDescent="0.35">
      <c r="A3595" s="32" t="s">
        <v>1229</v>
      </c>
      <c r="B3595" s="32"/>
    </row>
    <row r="3596" spans="1:2" x14ac:dyDescent="0.35">
      <c r="A3596" s="32" t="s">
        <v>1774</v>
      </c>
      <c r="B3596" s="32"/>
    </row>
    <row r="3597" spans="1:2" x14ac:dyDescent="0.35">
      <c r="A3597" s="32" t="s">
        <v>1231</v>
      </c>
      <c r="B3597" s="32"/>
    </row>
    <row r="3598" spans="1:2" x14ac:dyDescent="0.35">
      <c r="A3598" s="32" t="s">
        <v>1232</v>
      </c>
      <c r="B3598" s="32"/>
    </row>
    <row r="3599" spans="1:2" x14ac:dyDescent="0.35">
      <c r="A3599" s="32" t="s">
        <v>1233</v>
      </c>
      <c r="B3599" s="32"/>
    </row>
    <row r="3600" spans="1:2" x14ac:dyDescent="0.35">
      <c r="A3600" s="32" t="s">
        <v>1234</v>
      </c>
      <c r="B3600" s="32"/>
    </row>
    <row r="3601" spans="1:2" x14ac:dyDescent="0.35">
      <c r="A3601" s="32" t="s">
        <v>1775</v>
      </c>
      <c r="B3601" s="32"/>
    </row>
    <row r="3602" spans="1:2" x14ac:dyDescent="0.35">
      <c r="A3602" s="32" t="s">
        <v>1776</v>
      </c>
      <c r="B3602" s="32"/>
    </row>
    <row r="3603" spans="1:2" x14ac:dyDescent="0.35">
      <c r="A3603" s="32" t="s">
        <v>1777</v>
      </c>
      <c r="B3603" s="32"/>
    </row>
    <row r="3604" spans="1:2" x14ac:dyDescent="0.35">
      <c r="A3604" s="32" t="s">
        <v>1235</v>
      </c>
      <c r="B3604" s="32"/>
    </row>
    <row r="3605" spans="1:2" x14ac:dyDescent="0.35">
      <c r="A3605" s="32" t="s">
        <v>1236</v>
      </c>
      <c r="B3605" s="32"/>
    </row>
    <row r="3606" spans="1:2" x14ac:dyDescent="0.35">
      <c r="A3606" s="32" t="s">
        <v>1778</v>
      </c>
      <c r="B3606" s="32"/>
    </row>
    <row r="3607" spans="1:2" x14ac:dyDescent="0.35">
      <c r="A3607" s="32" t="s">
        <v>1779</v>
      </c>
      <c r="B3607" s="32"/>
    </row>
    <row r="3608" spans="1:2" x14ac:dyDescent="0.35">
      <c r="A3608" s="32" t="s">
        <v>1237</v>
      </c>
      <c r="B3608" s="32"/>
    </row>
    <row r="3609" spans="1:2" x14ac:dyDescent="0.35">
      <c r="A3609" s="32" t="s">
        <v>1238</v>
      </c>
      <c r="B3609" s="32"/>
    </row>
    <row r="3610" spans="1:2" x14ac:dyDescent="0.35">
      <c r="A3610" s="32" t="s">
        <v>1239</v>
      </c>
      <c r="B3610" s="32"/>
    </row>
    <row r="3611" spans="1:2" x14ac:dyDescent="0.35">
      <c r="A3611" s="32" t="s">
        <v>1240</v>
      </c>
      <c r="B3611" s="32"/>
    </row>
    <row r="3612" spans="1:2" x14ac:dyDescent="0.35">
      <c r="A3612" s="32" t="s">
        <v>1241</v>
      </c>
      <c r="B3612" s="32"/>
    </row>
    <row r="3613" spans="1:2" x14ac:dyDescent="0.35">
      <c r="A3613" s="32" t="s">
        <v>1242</v>
      </c>
      <c r="B3613" s="32"/>
    </row>
    <row r="3614" spans="1:2" x14ac:dyDescent="0.35">
      <c r="A3614" s="32" t="s">
        <v>1243</v>
      </c>
      <c r="B3614" s="32"/>
    </row>
    <row r="3615" spans="1:2" x14ac:dyDescent="0.35">
      <c r="A3615" s="32" t="s">
        <v>1244</v>
      </c>
      <c r="B3615" s="32"/>
    </row>
    <row r="3616" spans="1:2" x14ac:dyDescent="0.35">
      <c r="A3616" s="32" t="s">
        <v>1780</v>
      </c>
      <c r="B3616" s="32"/>
    </row>
    <row r="3617" spans="1:2" x14ac:dyDescent="0.35">
      <c r="A3617" s="32" t="s">
        <v>1781</v>
      </c>
      <c r="B3617" s="32"/>
    </row>
    <row r="3618" spans="1:2" x14ac:dyDescent="0.35">
      <c r="A3618" s="32" t="s">
        <v>1246</v>
      </c>
      <c r="B3618" s="32"/>
    </row>
    <row r="3619" spans="1:2" x14ac:dyDescent="0.35">
      <c r="A3619" s="32" t="s">
        <v>1782</v>
      </c>
      <c r="B3619" s="32"/>
    </row>
    <row r="3620" spans="1:2" x14ac:dyDescent="0.35">
      <c r="A3620" s="32" t="s">
        <v>1248</v>
      </c>
      <c r="B3620" s="32"/>
    </row>
    <row r="3621" spans="1:2" x14ac:dyDescent="0.35">
      <c r="A3621" s="32" t="s">
        <v>1249</v>
      </c>
      <c r="B3621" s="32"/>
    </row>
    <row r="3622" spans="1:2" x14ac:dyDescent="0.35">
      <c r="A3622" s="32" t="s">
        <v>1250</v>
      </c>
      <c r="B3622" s="32"/>
    </row>
    <row r="3623" spans="1:2" x14ac:dyDescent="0.35">
      <c r="A3623" s="32" t="s">
        <v>1251</v>
      </c>
      <c r="B3623" s="32"/>
    </row>
    <row r="3624" spans="1:2" x14ac:dyDescent="0.35">
      <c r="A3624" s="32" t="s">
        <v>1252</v>
      </c>
      <c r="B3624" s="32"/>
    </row>
    <row r="3625" spans="1:2" x14ac:dyDescent="0.35">
      <c r="A3625" s="32" t="s">
        <v>1253</v>
      </c>
      <c r="B3625" s="32"/>
    </row>
    <row r="3626" spans="1:2" x14ac:dyDescent="0.35">
      <c r="A3626" s="32" t="s">
        <v>1254</v>
      </c>
      <c r="B3626" s="32"/>
    </row>
    <row r="3627" spans="1:2" x14ac:dyDescent="0.35">
      <c r="A3627" s="32" t="s">
        <v>1255</v>
      </c>
      <c r="B3627" s="32"/>
    </row>
    <row r="3628" spans="1:2" x14ac:dyDescent="0.35">
      <c r="A3628" s="32" t="s">
        <v>1256</v>
      </c>
      <c r="B3628" s="32"/>
    </row>
    <row r="3629" spans="1:2" x14ac:dyDescent="0.35">
      <c r="A3629" s="32" t="s">
        <v>1257</v>
      </c>
      <c r="B3629" s="32"/>
    </row>
    <row r="3630" spans="1:2" x14ac:dyDescent="0.35">
      <c r="A3630" s="32" t="s">
        <v>1258</v>
      </c>
      <c r="B3630" s="32"/>
    </row>
    <row r="3631" spans="1:2" x14ac:dyDescent="0.35">
      <c r="A3631" s="32" t="s">
        <v>1783</v>
      </c>
      <c r="B3631" s="32"/>
    </row>
    <row r="3632" spans="1:2" x14ac:dyDescent="0.35">
      <c r="A3632" s="32" t="s">
        <v>1784</v>
      </c>
      <c r="B3632" s="32"/>
    </row>
    <row r="3633" spans="1:2" x14ac:dyDescent="0.35">
      <c r="A3633" s="32" t="s">
        <v>1259</v>
      </c>
      <c r="B3633" s="32"/>
    </row>
    <row r="3634" spans="1:2" x14ac:dyDescent="0.35">
      <c r="A3634" s="32" t="s">
        <v>1785</v>
      </c>
      <c r="B3634" s="32"/>
    </row>
    <row r="3635" spans="1:2" x14ac:dyDescent="0.35">
      <c r="A3635" s="32" t="s">
        <v>1786</v>
      </c>
      <c r="B3635" s="32"/>
    </row>
    <row r="3636" spans="1:2" x14ac:dyDescent="0.35">
      <c r="A3636" s="32" t="s">
        <v>1787</v>
      </c>
      <c r="B3636" s="32"/>
    </row>
    <row r="3637" spans="1:2" x14ac:dyDescent="0.35">
      <c r="A3637" s="32" t="s">
        <v>1788</v>
      </c>
      <c r="B3637" s="32"/>
    </row>
    <row r="3638" spans="1:2" x14ac:dyDescent="0.35">
      <c r="A3638" s="32" t="s">
        <v>1789</v>
      </c>
      <c r="B3638" s="32"/>
    </row>
    <row r="3639" spans="1:2" x14ac:dyDescent="0.35">
      <c r="A3639" s="32" t="s">
        <v>1790</v>
      </c>
      <c r="B3639" s="32"/>
    </row>
    <row r="3640" spans="1:2" x14ac:dyDescent="0.35">
      <c r="A3640" s="32" t="s">
        <v>1260</v>
      </c>
      <c r="B3640" s="32"/>
    </row>
    <row r="3641" spans="1:2" x14ac:dyDescent="0.35">
      <c r="A3641" s="32" t="s">
        <v>1261</v>
      </c>
      <c r="B3641" s="32"/>
    </row>
    <row r="3642" spans="1:2" x14ac:dyDescent="0.35">
      <c r="A3642" s="32" t="s">
        <v>1262</v>
      </c>
      <c r="B3642" s="32"/>
    </row>
    <row r="3643" spans="1:2" x14ac:dyDescent="0.35">
      <c r="A3643" s="32" t="s">
        <v>1263</v>
      </c>
      <c r="B3643" s="32"/>
    </row>
    <row r="3644" spans="1:2" x14ac:dyDescent="0.35">
      <c r="A3644" s="32" t="s">
        <v>1264</v>
      </c>
      <c r="B3644" s="32"/>
    </row>
    <row r="3645" spans="1:2" x14ac:dyDescent="0.35">
      <c r="A3645" s="32" t="s">
        <v>1265</v>
      </c>
      <c r="B3645" s="32"/>
    </row>
    <row r="3646" spans="1:2" x14ac:dyDescent="0.35">
      <c r="A3646" s="32" t="s">
        <v>1791</v>
      </c>
      <c r="B3646" s="32"/>
    </row>
    <row r="3647" spans="1:2" x14ac:dyDescent="0.35">
      <c r="A3647" s="32" t="s">
        <v>1792</v>
      </c>
      <c r="B3647" s="32"/>
    </row>
    <row r="3648" spans="1:2" x14ac:dyDescent="0.35">
      <c r="A3648" s="32" t="s">
        <v>1267</v>
      </c>
      <c r="B3648" s="32"/>
    </row>
    <row r="3649" spans="1:2" x14ac:dyDescent="0.35">
      <c r="A3649" s="32" t="s">
        <v>1268</v>
      </c>
      <c r="B3649" s="32"/>
    </row>
    <row r="3650" spans="1:2" x14ac:dyDescent="0.35">
      <c r="A3650" s="32" t="s">
        <v>1269</v>
      </c>
      <c r="B3650" s="32"/>
    </row>
    <row r="3651" spans="1:2" x14ac:dyDescent="0.35">
      <c r="A3651" s="32" t="s">
        <v>1793</v>
      </c>
      <c r="B3651" s="32"/>
    </row>
    <row r="3652" spans="1:2" x14ac:dyDescent="0.35">
      <c r="A3652" s="32" t="s">
        <v>1271</v>
      </c>
      <c r="B3652" s="32"/>
    </row>
    <row r="3653" spans="1:2" x14ac:dyDescent="0.35">
      <c r="A3653" s="32" t="s">
        <v>1272</v>
      </c>
      <c r="B3653" s="32"/>
    </row>
    <row r="3654" spans="1:2" x14ac:dyDescent="0.35">
      <c r="A3654" s="32" t="s">
        <v>1273</v>
      </c>
      <c r="B3654" s="32"/>
    </row>
    <row r="3655" spans="1:2" x14ac:dyDescent="0.35">
      <c r="A3655" s="32" t="s">
        <v>1794</v>
      </c>
      <c r="B3655" s="32"/>
    </row>
    <row r="3656" spans="1:2" x14ac:dyDescent="0.35">
      <c r="A3656" s="32" t="s">
        <v>1795</v>
      </c>
      <c r="B3656" s="32"/>
    </row>
    <row r="3657" spans="1:2" x14ac:dyDescent="0.35">
      <c r="A3657" s="32" t="s">
        <v>1275</v>
      </c>
      <c r="B3657" s="32"/>
    </row>
    <row r="3658" spans="1:2" x14ac:dyDescent="0.35">
      <c r="A3658" s="32" t="s">
        <v>1276</v>
      </c>
      <c r="B3658" s="32"/>
    </row>
    <row r="3659" spans="1:2" x14ac:dyDescent="0.35">
      <c r="A3659" s="32" t="s">
        <v>1796</v>
      </c>
      <c r="B3659" s="32"/>
    </row>
    <row r="3660" spans="1:2" x14ac:dyDescent="0.35">
      <c r="A3660" s="32" t="s">
        <v>1797</v>
      </c>
      <c r="B3660" s="32"/>
    </row>
    <row r="3661" spans="1:2" x14ac:dyDescent="0.35">
      <c r="A3661" s="32" t="s">
        <v>1798</v>
      </c>
      <c r="B3661" s="32"/>
    </row>
    <row r="3662" spans="1:2" x14ac:dyDescent="0.35">
      <c r="A3662" s="32" t="s">
        <v>1799</v>
      </c>
      <c r="B3662" s="32"/>
    </row>
    <row r="3663" spans="1:2" x14ac:dyDescent="0.35">
      <c r="A3663" s="32" t="s">
        <v>1278</v>
      </c>
      <c r="B3663" s="32"/>
    </row>
    <row r="3664" spans="1:2" x14ac:dyDescent="0.35">
      <c r="A3664" s="32" t="s">
        <v>1279</v>
      </c>
      <c r="B3664" s="32"/>
    </row>
    <row r="3665" spans="1:2" x14ac:dyDescent="0.35">
      <c r="A3665" s="32" t="s">
        <v>1280</v>
      </c>
      <c r="B3665" s="32"/>
    </row>
    <row r="3666" spans="1:2" x14ac:dyDescent="0.35">
      <c r="A3666" s="32" t="s">
        <v>1800</v>
      </c>
      <c r="B3666" s="32"/>
    </row>
    <row r="3667" spans="1:2" x14ac:dyDescent="0.35">
      <c r="A3667" s="32" t="s">
        <v>1801</v>
      </c>
      <c r="B3667" s="32"/>
    </row>
    <row r="3668" spans="1:2" x14ac:dyDescent="0.35">
      <c r="A3668" s="32" t="s">
        <v>1802</v>
      </c>
      <c r="B3668" s="32"/>
    </row>
    <row r="3669" spans="1:2" x14ac:dyDescent="0.35">
      <c r="A3669" s="32" t="s">
        <v>1803</v>
      </c>
      <c r="B3669" s="32"/>
    </row>
    <row r="3670" spans="1:2" x14ac:dyDescent="0.35">
      <c r="A3670" s="32" t="s">
        <v>1804</v>
      </c>
      <c r="B3670" s="32"/>
    </row>
    <row r="3671" spans="1:2" x14ac:dyDescent="0.35">
      <c r="A3671" s="32" t="s">
        <v>1805</v>
      </c>
      <c r="B3671" s="32"/>
    </row>
    <row r="3672" spans="1:2" x14ac:dyDescent="0.35">
      <c r="A3672" s="32" t="s">
        <v>1282</v>
      </c>
      <c r="B3672" s="32"/>
    </row>
    <row r="3673" spans="1:2" x14ac:dyDescent="0.35">
      <c r="A3673" s="32" t="s">
        <v>1806</v>
      </c>
      <c r="B3673" s="32"/>
    </row>
    <row r="3674" spans="1:2" x14ac:dyDescent="0.35">
      <c r="A3674" s="32" t="s">
        <v>1807</v>
      </c>
      <c r="B3674" s="32"/>
    </row>
    <row r="3675" spans="1:2" x14ac:dyDescent="0.35">
      <c r="A3675" s="32" t="s">
        <v>1808</v>
      </c>
      <c r="B3675" s="32"/>
    </row>
    <row r="3676" spans="1:2" x14ac:dyDescent="0.35">
      <c r="A3676" s="32" t="s">
        <v>1809</v>
      </c>
      <c r="B3676" s="32"/>
    </row>
    <row r="3677" spans="1:2" x14ac:dyDescent="0.35">
      <c r="A3677" s="32" t="s">
        <v>1810</v>
      </c>
      <c r="B3677" s="32"/>
    </row>
    <row r="3678" spans="1:2" x14ac:dyDescent="0.35">
      <c r="A3678" s="32" t="s">
        <v>1284</v>
      </c>
      <c r="B3678" s="32"/>
    </row>
    <row r="3679" spans="1:2" x14ac:dyDescent="0.35">
      <c r="A3679" s="32" t="s">
        <v>1811</v>
      </c>
      <c r="B3679" s="32"/>
    </row>
    <row r="3680" spans="1:2" x14ac:dyDescent="0.35">
      <c r="A3680" s="32" t="s">
        <v>1812</v>
      </c>
      <c r="B3680" s="32"/>
    </row>
    <row r="3681" spans="1:2" x14ac:dyDescent="0.35">
      <c r="A3681" s="32" t="s">
        <v>1813</v>
      </c>
      <c r="B3681" s="32"/>
    </row>
    <row r="3682" spans="1:2" x14ac:dyDescent="0.35">
      <c r="A3682" s="32" t="s">
        <v>1814</v>
      </c>
      <c r="B3682" s="32"/>
    </row>
    <row r="3683" spans="1:2" x14ac:dyDescent="0.35">
      <c r="A3683" s="32" t="s">
        <v>1815</v>
      </c>
      <c r="B3683" s="32"/>
    </row>
    <row r="3684" spans="1:2" x14ac:dyDescent="0.35">
      <c r="A3684" s="32" t="s">
        <v>1286</v>
      </c>
      <c r="B3684" s="32"/>
    </row>
    <row r="3685" spans="1:2" x14ac:dyDescent="0.35">
      <c r="A3685" s="32" t="s">
        <v>1287</v>
      </c>
      <c r="B3685" s="32"/>
    </row>
    <row r="3686" spans="1:2" x14ac:dyDescent="0.35">
      <c r="A3686" s="32" t="s">
        <v>1288</v>
      </c>
      <c r="B3686" s="32"/>
    </row>
    <row r="3687" spans="1:2" x14ac:dyDescent="0.35">
      <c r="A3687" s="32" t="s">
        <v>1289</v>
      </c>
      <c r="B3687" s="32"/>
    </row>
    <row r="3688" spans="1:2" x14ac:dyDescent="0.35">
      <c r="A3688" s="32" t="s">
        <v>1290</v>
      </c>
      <c r="B3688" s="32"/>
    </row>
    <row r="3689" spans="1:2" x14ac:dyDescent="0.35">
      <c r="A3689" s="32" t="s">
        <v>1291</v>
      </c>
      <c r="B3689" s="32"/>
    </row>
    <row r="3690" spans="1:2" x14ac:dyDescent="0.35">
      <c r="A3690" s="32" t="s">
        <v>1292</v>
      </c>
      <c r="B3690" s="32"/>
    </row>
    <row r="3691" spans="1:2" x14ac:dyDescent="0.35">
      <c r="A3691" s="32" t="s">
        <v>1293</v>
      </c>
      <c r="B3691" s="32"/>
    </row>
    <row r="3692" spans="1:2" x14ac:dyDescent="0.35">
      <c r="A3692" s="32" t="s">
        <v>1294</v>
      </c>
      <c r="B3692" s="32"/>
    </row>
    <row r="3693" spans="1:2" x14ac:dyDescent="0.35">
      <c r="A3693" s="32" t="s">
        <v>1295</v>
      </c>
      <c r="B3693" s="32"/>
    </row>
    <row r="3694" spans="1:2" x14ac:dyDescent="0.35">
      <c r="A3694" s="32" t="s">
        <v>1296</v>
      </c>
      <c r="B3694" s="32"/>
    </row>
    <row r="3695" spans="1:2" x14ac:dyDescent="0.35">
      <c r="A3695" s="32" t="s">
        <v>1297</v>
      </c>
      <c r="B3695" s="32"/>
    </row>
    <row r="3696" spans="1:2" x14ac:dyDescent="0.35">
      <c r="A3696" s="32" t="s">
        <v>1298</v>
      </c>
      <c r="B3696" s="32"/>
    </row>
    <row r="3697" spans="1:2" x14ac:dyDescent="0.35">
      <c r="A3697" s="32" t="s">
        <v>1299</v>
      </c>
      <c r="B3697" s="32"/>
    </row>
    <row r="3698" spans="1:2" x14ac:dyDescent="0.35">
      <c r="A3698" s="32" t="s">
        <v>1300</v>
      </c>
      <c r="B3698" s="32"/>
    </row>
    <row r="3699" spans="1:2" x14ac:dyDescent="0.35">
      <c r="A3699" s="32" t="s">
        <v>1301</v>
      </c>
      <c r="B3699" s="32"/>
    </row>
    <row r="3700" spans="1:2" x14ac:dyDescent="0.35">
      <c r="A3700" s="32" t="s">
        <v>1302</v>
      </c>
      <c r="B3700" s="32"/>
    </row>
    <row r="3701" spans="1:2" x14ac:dyDescent="0.35">
      <c r="A3701" s="32" t="s">
        <v>1303</v>
      </c>
      <c r="B3701" s="32"/>
    </row>
    <row r="3702" spans="1:2" x14ac:dyDescent="0.35">
      <c r="A3702" s="32" t="s">
        <v>1304</v>
      </c>
      <c r="B3702" s="32"/>
    </row>
    <row r="3703" spans="1:2" x14ac:dyDescent="0.35">
      <c r="A3703" s="32" t="s">
        <v>1305</v>
      </c>
      <c r="B3703" s="32"/>
    </row>
    <row r="3704" spans="1:2" x14ac:dyDescent="0.35">
      <c r="A3704" s="32" t="s">
        <v>1306</v>
      </c>
      <c r="B3704" s="32"/>
    </row>
    <row r="3705" spans="1:2" x14ac:dyDescent="0.35">
      <c r="A3705" s="32" t="s">
        <v>1307</v>
      </c>
      <c r="B3705" s="32"/>
    </row>
    <row r="3706" spans="1:2" x14ac:dyDescent="0.35">
      <c r="A3706" s="32" t="s">
        <v>1308</v>
      </c>
      <c r="B3706" s="32"/>
    </row>
    <row r="3707" spans="1:2" x14ac:dyDescent="0.35">
      <c r="A3707" s="32" t="s">
        <v>1816</v>
      </c>
      <c r="B3707" s="32"/>
    </row>
    <row r="3708" spans="1:2" x14ac:dyDescent="0.35">
      <c r="A3708" s="32" t="s">
        <v>1817</v>
      </c>
      <c r="B3708" s="32"/>
    </row>
    <row r="3709" spans="1:2" x14ac:dyDescent="0.35">
      <c r="A3709" s="32" t="s">
        <v>1310</v>
      </c>
      <c r="B3709" s="32"/>
    </row>
    <row r="3710" spans="1:2" x14ac:dyDescent="0.35">
      <c r="A3710" s="32" t="s">
        <v>1311</v>
      </c>
      <c r="B3710" s="32"/>
    </row>
    <row r="3711" spans="1:2" x14ac:dyDescent="0.35">
      <c r="A3711" s="32" t="s">
        <v>1312</v>
      </c>
      <c r="B3711" s="32"/>
    </row>
    <row r="3712" spans="1:2" x14ac:dyDescent="0.35">
      <c r="A3712" s="32" t="s">
        <v>1313</v>
      </c>
      <c r="B3712" s="32"/>
    </row>
    <row r="3713" spans="1:2" x14ac:dyDescent="0.35">
      <c r="A3713" s="32" t="s">
        <v>1314</v>
      </c>
      <c r="B3713" s="32"/>
    </row>
    <row r="3714" spans="1:2" x14ac:dyDescent="0.35">
      <c r="A3714" s="32" t="s">
        <v>1315</v>
      </c>
      <c r="B3714" s="32"/>
    </row>
    <row r="3715" spans="1:2" x14ac:dyDescent="0.35">
      <c r="A3715" s="32" t="s">
        <v>1818</v>
      </c>
      <c r="B3715" s="32"/>
    </row>
    <row r="3716" spans="1:2" x14ac:dyDescent="0.35">
      <c r="A3716" s="32" t="s">
        <v>1819</v>
      </c>
      <c r="B3716" s="32"/>
    </row>
    <row r="3717" spans="1:2" x14ac:dyDescent="0.35">
      <c r="A3717" s="32" t="s">
        <v>1820</v>
      </c>
      <c r="B3717" s="32"/>
    </row>
    <row r="3718" spans="1:2" x14ac:dyDescent="0.35">
      <c r="A3718" s="32" t="s">
        <v>1319</v>
      </c>
      <c r="B3718" s="32"/>
    </row>
    <row r="3719" spans="1:2" x14ac:dyDescent="0.35">
      <c r="A3719" s="32" t="s">
        <v>1320</v>
      </c>
      <c r="B3719" s="32"/>
    </row>
    <row r="3720" spans="1:2" x14ac:dyDescent="0.35">
      <c r="A3720" s="32" t="s">
        <v>1821</v>
      </c>
      <c r="B3720" s="32"/>
    </row>
    <row r="3721" spans="1:2" x14ac:dyDescent="0.35">
      <c r="A3721" s="32" t="s">
        <v>1322</v>
      </c>
      <c r="B3721" s="32"/>
    </row>
    <row r="3722" spans="1:2" x14ac:dyDescent="0.35">
      <c r="A3722" s="32" t="s">
        <v>1323</v>
      </c>
      <c r="B3722" s="32"/>
    </row>
    <row r="3723" spans="1:2" x14ac:dyDescent="0.35">
      <c r="A3723" s="32" t="s">
        <v>1324</v>
      </c>
      <c r="B3723" s="32"/>
    </row>
    <row r="3724" spans="1:2" x14ac:dyDescent="0.35">
      <c r="A3724" s="32" t="s">
        <v>1822</v>
      </c>
      <c r="B3724" s="32"/>
    </row>
    <row r="3725" spans="1:2" x14ac:dyDescent="0.35">
      <c r="A3725" s="32" t="s">
        <v>1326</v>
      </c>
      <c r="B3725" s="32"/>
    </row>
    <row r="3726" spans="1:2" x14ac:dyDescent="0.35">
      <c r="A3726" s="32" t="s">
        <v>1327</v>
      </c>
      <c r="B3726" s="32"/>
    </row>
    <row r="3727" spans="1:2" x14ac:dyDescent="0.35">
      <c r="A3727" s="32" t="s">
        <v>1328</v>
      </c>
      <c r="B3727" s="32"/>
    </row>
    <row r="3728" spans="1:2" x14ac:dyDescent="0.35">
      <c r="A3728" s="32" t="s">
        <v>1329</v>
      </c>
      <c r="B3728" s="32"/>
    </row>
    <row r="3729" spans="1:2" x14ac:dyDescent="0.35">
      <c r="A3729" s="32" t="s">
        <v>1330</v>
      </c>
      <c r="B3729" s="32"/>
    </row>
    <row r="3730" spans="1:2" x14ac:dyDescent="0.35">
      <c r="A3730" s="32" t="s">
        <v>1331</v>
      </c>
      <c r="B3730" s="32"/>
    </row>
    <row r="3731" spans="1:2" x14ac:dyDescent="0.35">
      <c r="A3731" s="32" t="s">
        <v>1332</v>
      </c>
      <c r="B3731" s="32"/>
    </row>
    <row r="3732" spans="1:2" x14ac:dyDescent="0.35">
      <c r="A3732" s="32" t="s">
        <v>1333</v>
      </c>
      <c r="B3732" s="32"/>
    </row>
    <row r="3733" spans="1:2" x14ac:dyDescent="0.35">
      <c r="A3733" s="32" t="s">
        <v>1334</v>
      </c>
      <c r="B3733" s="32"/>
    </row>
    <row r="3734" spans="1:2" x14ac:dyDescent="0.35">
      <c r="A3734" s="32" t="s">
        <v>1335</v>
      </c>
      <c r="B3734" s="32"/>
    </row>
    <row r="3735" spans="1:2" x14ac:dyDescent="0.35">
      <c r="A3735" s="32" t="s">
        <v>1336</v>
      </c>
      <c r="B3735" s="32"/>
    </row>
    <row r="3736" spans="1:2" x14ac:dyDescent="0.35">
      <c r="A3736" s="32" t="s">
        <v>1337</v>
      </c>
      <c r="B3736" s="32"/>
    </row>
    <row r="3737" spans="1:2" x14ac:dyDescent="0.35">
      <c r="A3737" s="32" t="s">
        <v>1338</v>
      </c>
      <c r="B3737" s="32"/>
    </row>
    <row r="3738" spans="1:2" x14ac:dyDescent="0.35">
      <c r="A3738" s="32" t="s">
        <v>1339</v>
      </c>
      <c r="B3738" s="32"/>
    </row>
    <row r="3739" spans="1:2" x14ac:dyDescent="0.35">
      <c r="A3739" s="32" t="s">
        <v>1340</v>
      </c>
      <c r="B3739" s="32"/>
    </row>
    <row r="3740" spans="1:2" x14ac:dyDescent="0.35">
      <c r="A3740" s="32" t="s">
        <v>1341</v>
      </c>
      <c r="B3740" s="32"/>
    </row>
    <row r="3741" spans="1:2" x14ac:dyDescent="0.35">
      <c r="A3741" s="32" t="s">
        <v>1342</v>
      </c>
      <c r="B3741" s="32"/>
    </row>
    <row r="3742" spans="1:2" x14ac:dyDescent="0.35">
      <c r="A3742" s="32" t="s">
        <v>1343</v>
      </c>
      <c r="B3742" s="32"/>
    </row>
    <row r="3743" spans="1:2" x14ac:dyDescent="0.35">
      <c r="A3743" s="32" t="s">
        <v>1344</v>
      </c>
      <c r="B3743" s="32"/>
    </row>
    <row r="3744" spans="1:2" x14ac:dyDescent="0.35">
      <c r="A3744" s="32" t="s">
        <v>1345</v>
      </c>
      <c r="B3744" s="32"/>
    </row>
    <row r="3745" spans="1:2" x14ac:dyDescent="0.35">
      <c r="A3745" s="32" t="s">
        <v>1346</v>
      </c>
      <c r="B3745" s="32"/>
    </row>
    <row r="3746" spans="1:2" x14ac:dyDescent="0.35">
      <c r="A3746" s="32" t="s">
        <v>1347</v>
      </c>
      <c r="B3746" s="32"/>
    </row>
    <row r="3747" spans="1:2" x14ac:dyDescent="0.35">
      <c r="A3747" s="32" t="s">
        <v>1348</v>
      </c>
      <c r="B3747" s="32"/>
    </row>
    <row r="3748" spans="1:2" x14ac:dyDescent="0.35">
      <c r="A3748" s="32" t="s">
        <v>1349</v>
      </c>
      <c r="B3748" s="32"/>
    </row>
    <row r="3749" spans="1:2" x14ac:dyDescent="0.35">
      <c r="A3749" s="32" t="s">
        <v>1350</v>
      </c>
      <c r="B3749" s="32"/>
    </row>
    <row r="3750" spans="1:2" x14ac:dyDescent="0.35">
      <c r="A3750" s="32" t="s">
        <v>1351</v>
      </c>
      <c r="B3750" s="32"/>
    </row>
    <row r="3751" spans="1:2" x14ac:dyDescent="0.35">
      <c r="A3751" s="32" t="s">
        <v>1352</v>
      </c>
      <c r="B3751" s="32"/>
    </row>
    <row r="3752" spans="1:2" x14ac:dyDescent="0.35">
      <c r="A3752" s="32" t="s">
        <v>1353</v>
      </c>
      <c r="B3752" s="32"/>
    </row>
    <row r="3753" spans="1:2" x14ac:dyDescent="0.35">
      <c r="A3753" s="32" t="s">
        <v>1354</v>
      </c>
      <c r="B3753" s="32"/>
    </row>
    <row r="3754" spans="1:2" x14ac:dyDescent="0.35">
      <c r="A3754" s="32" t="s">
        <v>1355</v>
      </c>
      <c r="B3754" s="32"/>
    </row>
    <row r="3755" spans="1:2" x14ac:dyDescent="0.35">
      <c r="A3755" s="32" t="s">
        <v>1356</v>
      </c>
      <c r="B3755" s="32"/>
    </row>
    <row r="3756" spans="1:2" x14ac:dyDescent="0.35">
      <c r="A3756" s="32" t="s">
        <v>1357</v>
      </c>
      <c r="B3756" s="32"/>
    </row>
    <row r="3757" spans="1:2" x14ac:dyDescent="0.35">
      <c r="A3757" s="32" t="s">
        <v>1358</v>
      </c>
      <c r="B3757" s="32"/>
    </row>
    <row r="3758" spans="1:2" x14ac:dyDescent="0.35">
      <c r="A3758" s="32" t="s">
        <v>1359</v>
      </c>
      <c r="B3758" s="32"/>
    </row>
    <row r="3759" spans="1:2" x14ac:dyDescent="0.35">
      <c r="A3759" s="32" t="s">
        <v>1360</v>
      </c>
      <c r="B3759" s="32"/>
    </row>
    <row r="3760" spans="1:2" x14ac:dyDescent="0.35">
      <c r="A3760" s="32" t="s">
        <v>1361</v>
      </c>
      <c r="B3760" s="32"/>
    </row>
    <row r="3761" spans="1:2" x14ac:dyDescent="0.35">
      <c r="A3761" s="32" t="s">
        <v>1362</v>
      </c>
      <c r="B3761" s="32"/>
    </row>
    <row r="3762" spans="1:2" x14ac:dyDescent="0.35">
      <c r="A3762" s="32" t="s">
        <v>1363</v>
      </c>
      <c r="B3762" s="32"/>
    </row>
    <row r="3763" spans="1:2" x14ac:dyDescent="0.35">
      <c r="A3763" s="32" t="s">
        <v>1364</v>
      </c>
      <c r="B3763" s="32"/>
    </row>
    <row r="3764" spans="1:2" x14ac:dyDescent="0.35">
      <c r="A3764" s="32" t="s">
        <v>1365</v>
      </c>
      <c r="B3764" s="32"/>
    </row>
    <row r="3765" spans="1:2" x14ac:dyDescent="0.35">
      <c r="A3765" s="32" t="s">
        <v>1366</v>
      </c>
      <c r="B3765" s="32"/>
    </row>
    <row r="3766" spans="1:2" x14ac:dyDescent="0.35">
      <c r="A3766" s="32" t="s">
        <v>1367</v>
      </c>
      <c r="B3766" s="32"/>
    </row>
    <row r="3767" spans="1:2" x14ac:dyDescent="0.35">
      <c r="A3767" s="32" t="s">
        <v>1368</v>
      </c>
      <c r="B3767" s="32"/>
    </row>
    <row r="3768" spans="1:2" x14ac:dyDescent="0.35">
      <c r="A3768" s="32" t="s">
        <v>1823</v>
      </c>
      <c r="B3768" s="32"/>
    </row>
    <row r="3769" spans="1:2" x14ac:dyDescent="0.35">
      <c r="A3769" s="32" t="s">
        <v>1370</v>
      </c>
      <c r="B3769" s="32"/>
    </row>
    <row r="3770" spans="1:2" x14ac:dyDescent="0.35">
      <c r="A3770" s="32" t="s">
        <v>1371</v>
      </c>
      <c r="B3770" s="32"/>
    </row>
    <row r="3771" spans="1:2" x14ac:dyDescent="0.35">
      <c r="A3771" s="32" t="s">
        <v>1372</v>
      </c>
      <c r="B3771" s="32"/>
    </row>
    <row r="3772" spans="1:2" x14ac:dyDescent="0.35">
      <c r="A3772" s="32" t="s">
        <v>1373</v>
      </c>
      <c r="B3772" s="32"/>
    </row>
    <row r="3773" spans="1:2" x14ac:dyDescent="0.35">
      <c r="A3773" s="32" t="s">
        <v>1374</v>
      </c>
      <c r="B3773" s="32"/>
    </row>
    <row r="3774" spans="1:2" x14ac:dyDescent="0.35">
      <c r="A3774" s="32" t="s">
        <v>1375</v>
      </c>
      <c r="B3774" s="32"/>
    </row>
    <row r="3775" spans="1:2" x14ac:dyDescent="0.35">
      <c r="A3775" s="32" t="s">
        <v>1376</v>
      </c>
      <c r="B3775" s="32"/>
    </row>
    <row r="3776" spans="1:2" x14ac:dyDescent="0.35">
      <c r="A3776" s="32" t="s">
        <v>1377</v>
      </c>
      <c r="B3776" s="32"/>
    </row>
    <row r="3777" spans="1:2" x14ac:dyDescent="0.35">
      <c r="A3777" s="32" t="s">
        <v>1378</v>
      </c>
      <c r="B3777" s="32"/>
    </row>
    <row r="3778" spans="1:2" x14ac:dyDescent="0.35">
      <c r="A3778" s="32" t="s">
        <v>1379</v>
      </c>
      <c r="B3778" s="32"/>
    </row>
    <row r="3779" spans="1:2" x14ac:dyDescent="0.35">
      <c r="A3779" s="32" t="s">
        <v>1380</v>
      </c>
      <c r="B3779" s="32"/>
    </row>
    <row r="3780" spans="1:2" x14ac:dyDescent="0.35">
      <c r="A3780" s="32" t="s">
        <v>1381</v>
      </c>
      <c r="B3780" s="32"/>
    </row>
    <row r="3781" spans="1:2" x14ac:dyDescent="0.35">
      <c r="A3781" s="32" t="s">
        <v>1382</v>
      </c>
      <c r="B3781" s="32"/>
    </row>
    <row r="3782" spans="1:2" x14ac:dyDescent="0.35">
      <c r="A3782" s="32" t="s">
        <v>1383</v>
      </c>
      <c r="B3782" s="32"/>
    </row>
    <row r="3783" spans="1:2" x14ac:dyDescent="0.35">
      <c r="A3783" s="32" t="s">
        <v>1384</v>
      </c>
      <c r="B3783" s="32"/>
    </row>
    <row r="3784" spans="1:2" x14ac:dyDescent="0.35">
      <c r="A3784" s="32" t="s">
        <v>1385</v>
      </c>
      <c r="B3784" s="32"/>
    </row>
    <row r="3785" spans="1:2" x14ac:dyDescent="0.35">
      <c r="A3785" s="32" t="s">
        <v>1386</v>
      </c>
      <c r="B3785" s="32"/>
    </row>
    <row r="3786" spans="1:2" x14ac:dyDescent="0.35">
      <c r="A3786" s="32" t="s">
        <v>1387</v>
      </c>
      <c r="B3786" s="32"/>
    </row>
    <row r="3787" spans="1:2" x14ac:dyDescent="0.35">
      <c r="A3787" s="32" t="s">
        <v>1388</v>
      </c>
      <c r="B3787" s="32"/>
    </row>
    <row r="3788" spans="1:2" x14ac:dyDescent="0.35">
      <c r="A3788" s="32" t="s">
        <v>1389</v>
      </c>
      <c r="B3788" s="32"/>
    </row>
    <row r="3789" spans="1:2" x14ac:dyDescent="0.35">
      <c r="A3789" s="32" t="s">
        <v>1390</v>
      </c>
      <c r="B3789" s="32"/>
    </row>
    <row r="3790" spans="1:2" x14ac:dyDescent="0.35">
      <c r="A3790" s="32" t="s">
        <v>1391</v>
      </c>
      <c r="B3790" s="32"/>
    </row>
    <row r="3791" spans="1:2" x14ac:dyDescent="0.35">
      <c r="A3791" s="32" t="s">
        <v>1392</v>
      </c>
      <c r="B3791" s="32"/>
    </row>
    <row r="3792" spans="1:2" x14ac:dyDescent="0.35">
      <c r="A3792" s="32" t="s">
        <v>1393</v>
      </c>
      <c r="B3792" s="32"/>
    </row>
    <row r="3793" spans="1:2" x14ac:dyDescent="0.35">
      <c r="A3793" s="32" t="s">
        <v>1394</v>
      </c>
      <c r="B3793" s="32"/>
    </row>
    <row r="3794" spans="1:2" x14ac:dyDescent="0.35">
      <c r="A3794" s="32" t="s">
        <v>1395</v>
      </c>
      <c r="B3794" s="32"/>
    </row>
    <row r="3795" spans="1:2" x14ac:dyDescent="0.35">
      <c r="A3795" s="32" t="s">
        <v>1396</v>
      </c>
      <c r="B3795" s="32"/>
    </row>
    <row r="3796" spans="1:2" x14ac:dyDescent="0.35">
      <c r="A3796" s="32" t="s">
        <v>1397</v>
      </c>
      <c r="B3796" s="32"/>
    </row>
    <row r="3797" spans="1:2" x14ac:dyDescent="0.35">
      <c r="A3797" s="32" t="s">
        <v>1398</v>
      </c>
      <c r="B3797" s="32"/>
    </row>
    <row r="3798" spans="1:2" x14ac:dyDescent="0.35">
      <c r="A3798" s="32" t="s">
        <v>1399</v>
      </c>
      <c r="B3798" s="32"/>
    </row>
    <row r="3799" spans="1:2" x14ac:dyDescent="0.35">
      <c r="A3799" s="32" t="s">
        <v>1400</v>
      </c>
      <c r="B3799" s="32"/>
    </row>
    <row r="3800" spans="1:2" x14ac:dyDescent="0.35">
      <c r="A3800" s="32" t="s">
        <v>1401</v>
      </c>
      <c r="B3800" s="32"/>
    </row>
    <row r="3801" spans="1:2" x14ac:dyDescent="0.35">
      <c r="A3801" s="32" t="s">
        <v>1402</v>
      </c>
      <c r="B3801" s="32"/>
    </row>
    <row r="3802" spans="1:2" x14ac:dyDescent="0.35">
      <c r="A3802" s="32" t="s">
        <v>1403</v>
      </c>
      <c r="B3802" s="32"/>
    </row>
    <row r="3803" spans="1:2" x14ac:dyDescent="0.35">
      <c r="A3803" s="32" t="s">
        <v>1404</v>
      </c>
      <c r="B3803" s="32"/>
    </row>
    <row r="3804" spans="1:2" x14ac:dyDescent="0.35">
      <c r="A3804" s="32" t="s">
        <v>1405</v>
      </c>
      <c r="B3804" s="32"/>
    </row>
    <row r="3805" spans="1:2" x14ac:dyDescent="0.35">
      <c r="A3805" s="32" t="s">
        <v>1406</v>
      </c>
      <c r="B3805" s="32"/>
    </row>
    <row r="3806" spans="1:2" x14ac:dyDescent="0.35">
      <c r="A3806" s="32" t="s">
        <v>1407</v>
      </c>
      <c r="B3806" s="32"/>
    </row>
    <row r="3807" spans="1:2" x14ac:dyDescent="0.35">
      <c r="A3807" s="32" t="s">
        <v>1408</v>
      </c>
      <c r="B3807" s="32"/>
    </row>
    <row r="3808" spans="1:2" x14ac:dyDescent="0.35">
      <c r="A3808" s="32" t="s">
        <v>1409</v>
      </c>
      <c r="B3808" s="32"/>
    </row>
    <row r="3809" spans="1:2" x14ac:dyDescent="0.35">
      <c r="A3809" s="32" t="s">
        <v>1410</v>
      </c>
      <c r="B3809" s="32"/>
    </row>
    <row r="3810" spans="1:2" x14ac:dyDescent="0.35">
      <c r="A3810" s="32" t="s">
        <v>1411</v>
      </c>
      <c r="B3810" s="32"/>
    </row>
    <row r="3811" spans="1:2" x14ac:dyDescent="0.35">
      <c r="A3811" s="32" t="s">
        <v>1412</v>
      </c>
      <c r="B3811" s="32"/>
    </row>
    <row r="3812" spans="1:2" x14ac:dyDescent="0.35">
      <c r="A3812" s="32" t="s">
        <v>1413</v>
      </c>
      <c r="B3812" s="32"/>
    </row>
    <row r="3813" spans="1:2" x14ac:dyDescent="0.35">
      <c r="A3813" s="32" t="s">
        <v>1414</v>
      </c>
      <c r="B3813" s="32"/>
    </row>
    <row r="3814" spans="1:2" x14ac:dyDescent="0.35">
      <c r="A3814" s="32" t="s">
        <v>1415</v>
      </c>
      <c r="B3814" s="32"/>
    </row>
    <row r="3815" spans="1:2" x14ac:dyDescent="0.35">
      <c r="A3815" s="32" t="s">
        <v>1824</v>
      </c>
      <c r="B3815" s="32"/>
    </row>
    <row r="3816" spans="1:2" x14ac:dyDescent="0.35">
      <c r="A3816" s="32" t="s">
        <v>1825</v>
      </c>
      <c r="B3816" s="32"/>
    </row>
    <row r="3817" spans="1:2" x14ac:dyDescent="0.35">
      <c r="A3817" s="32" t="s">
        <v>1826</v>
      </c>
      <c r="B3817" s="32"/>
    </row>
    <row r="3818" spans="1:2" x14ac:dyDescent="0.35">
      <c r="A3818" s="32" t="s">
        <v>1827</v>
      </c>
      <c r="B3818" s="32"/>
    </row>
    <row r="3819" spans="1:2" x14ac:dyDescent="0.35">
      <c r="A3819" s="32" t="s">
        <v>1828</v>
      </c>
      <c r="B3819" s="32"/>
    </row>
    <row r="3820" spans="1:2" x14ac:dyDescent="0.35">
      <c r="A3820" s="32" t="s">
        <v>1829</v>
      </c>
      <c r="B3820" s="32"/>
    </row>
    <row r="3821" spans="1:2" x14ac:dyDescent="0.35">
      <c r="A3821" s="32" t="s">
        <v>1830</v>
      </c>
      <c r="B3821" s="32"/>
    </row>
    <row r="3822" spans="1:2" x14ac:dyDescent="0.35">
      <c r="A3822" s="32" t="s">
        <v>1831</v>
      </c>
      <c r="B3822" s="32"/>
    </row>
    <row r="3823" spans="1:2" x14ac:dyDescent="0.35">
      <c r="A3823" s="32" t="s">
        <v>1832</v>
      </c>
      <c r="B3823" s="32"/>
    </row>
    <row r="3824" spans="1:2" x14ac:dyDescent="0.35">
      <c r="A3824" s="32" t="s">
        <v>1833</v>
      </c>
      <c r="B3824" s="32"/>
    </row>
    <row r="3825" spans="1:2" x14ac:dyDescent="0.35">
      <c r="A3825" s="32" t="s">
        <v>1834</v>
      </c>
      <c r="B3825" s="32"/>
    </row>
    <row r="3826" spans="1:2" x14ac:dyDescent="0.35">
      <c r="A3826" s="32" t="s">
        <v>1835</v>
      </c>
      <c r="B3826" s="32"/>
    </row>
    <row r="3827" spans="1:2" x14ac:dyDescent="0.35">
      <c r="A3827" s="32" t="s">
        <v>1836</v>
      </c>
      <c r="B3827" s="32"/>
    </row>
    <row r="3828" spans="1:2" x14ac:dyDescent="0.35">
      <c r="A3828" s="32" t="s">
        <v>1837</v>
      </c>
      <c r="B3828" s="32"/>
    </row>
    <row r="3829" spans="1:2" x14ac:dyDescent="0.35">
      <c r="A3829" s="32" t="s">
        <v>1430</v>
      </c>
      <c r="B3829" s="32"/>
    </row>
    <row r="3830" spans="1:2" x14ac:dyDescent="0.35">
      <c r="A3830" s="32" t="s">
        <v>1838</v>
      </c>
      <c r="B3830" s="32"/>
    </row>
    <row r="3831" spans="1:2" x14ac:dyDescent="0.35">
      <c r="A3831" s="32" t="s">
        <v>1431</v>
      </c>
      <c r="B3831" s="32"/>
    </row>
    <row r="3832" spans="1:2" x14ac:dyDescent="0.35">
      <c r="A3832" s="32" t="s">
        <v>1432</v>
      </c>
      <c r="B3832" s="32"/>
    </row>
    <row r="3833" spans="1:2" x14ac:dyDescent="0.35">
      <c r="A3833" s="32" t="s">
        <v>1433</v>
      </c>
      <c r="B3833" s="32"/>
    </row>
    <row r="3834" spans="1:2" x14ac:dyDescent="0.35">
      <c r="A3834" s="32" t="s">
        <v>1434</v>
      </c>
      <c r="B3834" s="32"/>
    </row>
    <row r="3835" spans="1:2" x14ac:dyDescent="0.35">
      <c r="A3835" s="32" t="s">
        <v>1435</v>
      </c>
      <c r="B3835" s="32"/>
    </row>
    <row r="3836" spans="1:2" x14ac:dyDescent="0.35">
      <c r="A3836" s="32" t="s">
        <v>1436</v>
      </c>
      <c r="B3836" s="32"/>
    </row>
    <row r="3837" spans="1:2" x14ac:dyDescent="0.35">
      <c r="A3837" s="32" t="s">
        <v>1437</v>
      </c>
      <c r="B3837" s="32"/>
    </row>
    <row r="3838" spans="1:2" x14ac:dyDescent="0.35">
      <c r="A3838" s="32" t="s">
        <v>1438</v>
      </c>
      <c r="B3838" s="32"/>
    </row>
    <row r="3839" spans="1:2" x14ac:dyDescent="0.35">
      <c r="A3839" s="32" t="s">
        <v>1439</v>
      </c>
      <c r="B3839" s="32"/>
    </row>
    <row r="3840" spans="1:2" x14ac:dyDescent="0.35">
      <c r="A3840" s="32" t="s">
        <v>1440</v>
      </c>
      <c r="B3840" s="32"/>
    </row>
    <row r="3841" spans="1:2" x14ac:dyDescent="0.35">
      <c r="A3841" s="32" t="s">
        <v>1441</v>
      </c>
      <c r="B3841" s="32"/>
    </row>
    <row r="3842" spans="1:2" x14ac:dyDescent="0.35">
      <c r="A3842" s="32" t="s">
        <v>1442</v>
      </c>
      <c r="B3842" s="32"/>
    </row>
    <row r="3843" spans="1:2" x14ac:dyDescent="0.35">
      <c r="A3843" s="32" t="s">
        <v>1443</v>
      </c>
      <c r="B3843" s="32"/>
    </row>
    <row r="3844" spans="1:2" x14ac:dyDescent="0.35">
      <c r="A3844" s="32" t="s">
        <v>1444</v>
      </c>
      <c r="B3844" s="32"/>
    </row>
    <row r="3845" spans="1:2" x14ac:dyDescent="0.35">
      <c r="A3845" s="32" t="s">
        <v>1445</v>
      </c>
      <c r="B3845" s="32"/>
    </row>
    <row r="3846" spans="1:2" x14ac:dyDescent="0.35">
      <c r="A3846" s="32" t="s">
        <v>1446</v>
      </c>
      <c r="B3846" s="32"/>
    </row>
    <row r="3847" spans="1:2" x14ac:dyDescent="0.35">
      <c r="A3847" s="32" t="s">
        <v>1447</v>
      </c>
      <c r="B3847" s="32"/>
    </row>
    <row r="3848" spans="1:2" x14ac:dyDescent="0.35">
      <c r="A3848" s="32" t="s">
        <v>1448</v>
      </c>
      <c r="B3848" s="32"/>
    </row>
    <row r="3849" spans="1:2" x14ac:dyDescent="0.35">
      <c r="A3849" s="32" t="s">
        <v>1449</v>
      </c>
      <c r="B3849" s="32"/>
    </row>
    <row r="3850" spans="1:2" x14ac:dyDescent="0.35">
      <c r="A3850" s="32" t="s">
        <v>1839</v>
      </c>
      <c r="B3850" s="32"/>
    </row>
    <row r="3851" spans="1:2" x14ac:dyDescent="0.35">
      <c r="A3851" s="32" t="s">
        <v>1450</v>
      </c>
      <c r="B3851" s="32"/>
    </row>
    <row r="3852" spans="1:2" x14ac:dyDescent="0.35">
      <c r="A3852" s="32" t="s">
        <v>1840</v>
      </c>
      <c r="B3852" s="32"/>
    </row>
    <row r="3853" spans="1:2" x14ac:dyDescent="0.35">
      <c r="A3853" s="32" t="s">
        <v>1841</v>
      </c>
      <c r="B3853" s="32"/>
    </row>
    <row r="3854" spans="1:2" x14ac:dyDescent="0.35">
      <c r="A3854" s="32" t="s">
        <v>1842</v>
      </c>
      <c r="B3854" s="32"/>
    </row>
    <row r="3855" spans="1:2" x14ac:dyDescent="0.35">
      <c r="A3855" s="32" t="s">
        <v>1843</v>
      </c>
      <c r="B3855" s="32"/>
    </row>
    <row r="3856" spans="1:2" x14ac:dyDescent="0.35">
      <c r="A3856" s="32" t="s">
        <v>1453</v>
      </c>
      <c r="B3856" s="32"/>
    </row>
    <row r="3857" spans="1:2" x14ac:dyDescent="0.35">
      <c r="A3857" s="32" t="s">
        <v>1454</v>
      </c>
      <c r="B3857" s="32"/>
    </row>
    <row r="3858" spans="1:2" x14ac:dyDescent="0.35">
      <c r="A3858" s="32" t="s">
        <v>1455</v>
      </c>
      <c r="B3858" s="32"/>
    </row>
    <row r="3859" spans="1:2" x14ac:dyDescent="0.35">
      <c r="A3859" s="32" t="s">
        <v>1456</v>
      </c>
      <c r="B3859" s="32"/>
    </row>
    <row r="3860" spans="1:2" x14ac:dyDescent="0.35">
      <c r="A3860" s="32" t="s">
        <v>1457</v>
      </c>
      <c r="B3860" s="32"/>
    </row>
    <row r="3861" spans="1:2" x14ac:dyDescent="0.35">
      <c r="A3861" s="32" t="s">
        <v>1458</v>
      </c>
      <c r="B3861" s="32"/>
    </row>
    <row r="3862" spans="1:2" x14ac:dyDescent="0.35">
      <c r="A3862" s="32" t="s">
        <v>1459</v>
      </c>
      <c r="B3862" s="32"/>
    </row>
    <row r="3863" spans="1:2" x14ac:dyDescent="0.35">
      <c r="A3863" s="32" t="s">
        <v>1460</v>
      </c>
      <c r="B3863" s="32"/>
    </row>
    <row r="3864" spans="1:2" x14ac:dyDescent="0.35">
      <c r="A3864" s="32" t="s">
        <v>1461</v>
      </c>
      <c r="B3864" s="32"/>
    </row>
    <row r="3865" spans="1:2" x14ac:dyDescent="0.35">
      <c r="A3865" s="32" t="s">
        <v>1462</v>
      </c>
      <c r="B3865" s="32"/>
    </row>
    <row r="3866" spans="1:2" x14ac:dyDescent="0.35">
      <c r="A3866" s="32" t="s">
        <v>1463</v>
      </c>
      <c r="B3866" s="32"/>
    </row>
    <row r="3867" spans="1:2" x14ac:dyDescent="0.35">
      <c r="A3867" s="32" t="s">
        <v>1464</v>
      </c>
      <c r="B3867" s="32"/>
    </row>
    <row r="3868" spans="1:2" x14ac:dyDescent="0.35">
      <c r="A3868" s="32" t="s">
        <v>1465</v>
      </c>
      <c r="B3868" s="32"/>
    </row>
    <row r="3869" spans="1:2" x14ac:dyDescent="0.35">
      <c r="A3869" s="32" t="s">
        <v>1466</v>
      </c>
      <c r="B3869" s="32"/>
    </row>
    <row r="3870" spans="1:2" x14ac:dyDescent="0.35">
      <c r="A3870" s="32" t="s">
        <v>1467</v>
      </c>
      <c r="B3870" s="32"/>
    </row>
    <row r="3871" spans="1:2" x14ac:dyDescent="0.35">
      <c r="A3871" s="32" t="s">
        <v>1468</v>
      </c>
      <c r="B3871" s="32"/>
    </row>
    <row r="3872" spans="1:2" x14ac:dyDescent="0.35">
      <c r="A3872" s="32" t="s">
        <v>1469</v>
      </c>
      <c r="B3872" s="32"/>
    </row>
    <row r="3873" spans="1:2" x14ac:dyDescent="0.35">
      <c r="A3873" s="32" t="s">
        <v>1470</v>
      </c>
      <c r="B3873" s="32"/>
    </row>
    <row r="3874" spans="1:2" x14ac:dyDescent="0.35">
      <c r="A3874" s="32" t="s">
        <v>1471</v>
      </c>
      <c r="B3874" s="32"/>
    </row>
    <row r="3875" spans="1:2" x14ac:dyDescent="0.35">
      <c r="A3875" s="32" t="s">
        <v>1472</v>
      </c>
      <c r="B3875" s="32"/>
    </row>
    <row r="3876" spans="1:2" x14ac:dyDescent="0.35">
      <c r="A3876" s="32" t="s">
        <v>1473</v>
      </c>
      <c r="B3876" s="32"/>
    </row>
    <row r="3877" spans="1:2" x14ac:dyDescent="0.35">
      <c r="A3877" s="32" t="s">
        <v>1474</v>
      </c>
      <c r="B3877" s="32"/>
    </row>
    <row r="3878" spans="1:2" x14ac:dyDescent="0.35">
      <c r="A3878" s="32" t="s">
        <v>1475</v>
      </c>
      <c r="B3878" s="32"/>
    </row>
    <row r="3879" spans="1:2" x14ac:dyDescent="0.35">
      <c r="A3879" s="32" t="s">
        <v>1476</v>
      </c>
      <c r="B3879" s="32"/>
    </row>
    <row r="3880" spans="1:2" x14ac:dyDescent="0.35">
      <c r="A3880" s="32" t="s">
        <v>1844</v>
      </c>
      <c r="B3880" s="32"/>
    </row>
    <row r="3881" spans="1:2" x14ac:dyDescent="0.35">
      <c r="A3881" s="32" t="s">
        <v>1845</v>
      </c>
      <c r="B3881" s="32"/>
    </row>
    <row r="3882" spans="1:2" x14ac:dyDescent="0.35">
      <c r="A3882" s="32" t="s">
        <v>1478</v>
      </c>
      <c r="B3882" s="32"/>
    </row>
    <row r="3883" spans="1:2" x14ac:dyDescent="0.35">
      <c r="A3883" s="32" t="s">
        <v>1846</v>
      </c>
      <c r="B3883" s="32"/>
    </row>
    <row r="3884" spans="1:2" x14ac:dyDescent="0.35">
      <c r="A3884" s="32" t="s">
        <v>1847</v>
      </c>
      <c r="B3884" s="32"/>
    </row>
    <row r="3885" spans="1:2" x14ac:dyDescent="0.35">
      <c r="A3885" s="32" t="s">
        <v>1848</v>
      </c>
      <c r="B3885" s="32"/>
    </row>
    <row r="3886" spans="1:2" x14ac:dyDescent="0.35">
      <c r="A3886" s="32" t="s">
        <v>1849</v>
      </c>
      <c r="B3886" s="32"/>
    </row>
    <row r="3887" spans="1:2" x14ac:dyDescent="0.35">
      <c r="A3887" s="32" t="s">
        <v>1850</v>
      </c>
      <c r="B3887" s="32"/>
    </row>
    <row r="3888" spans="1:2" x14ac:dyDescent="0.35">
      <c r="A3888" s="32" t="s">
        <v>1851</v>
      </c>
      <c r="B3888" s="32"/>
    </row>
    <row r="3889" spans="1:2" x14ac:dyDescent="0.35">
      <c r="A3889" s="32" t="s">
        <v>1852</v>
      </c>
      <c r="B3889" s="32"/>
    </row>
    <row r="3890" spans="1:2" x14ac:dyDescent="0.35">
      <c r="A3890" s="32" t="s">
        <v>1853</v>
      </c>
      <c r="B3890" s="32"/>
    </row>
    <row r="3891" spans="1:2" x14ac:dyDescent="0.35">
      <c r="A3891" s="32" t="s">
        <v>1854</v>
      </c>
      <c r="B3891" s="32"/>
    </row>
    <row r="3892" spans="1:2" x14ac:dyDescent="0.35">
      <c r="A3892" s="32" t="s">
        <v>1480</v>
      </c>
      <c r="B3892" s="32"/>
    </row>
    <row r="3893" spans="1:2" x14ac:dyDescent="0.35">
      <c r="A3893" s="32" t="s">
        <v>1855</v>
      </c>
      <c r="B3893" s="32"/>
    </row>
    <row r="3894" spans="1:2" x14ac:dyDescent="0.35">
      <c r="A3894" s="32" t="s">
        <v>1856</v>
      </c>
      <c r="B3894" s="32"/>
    </row>
    <row r="3895" spans="1:2" x14ac:dyDescent="0.35">
      <c r="A3895" s="32" t="s">
        <v>1481</v>
      </c>
      <c r="B3895" s="32"/>
    </row>
    <row r="3896" spans="1:2" x14ac:dyDescent="0.35">
      <c r="A3896" s="32" t="s">
        <v>1482</v>
      </c>
      <c r="B3896" s="32"/>
    </row>
    <row r="3897" spans="1:2" x14ac:dyDescent="0.35">
      <c r="A3897" s="32" t="s">
        <v>1483</v>
      </c>
      <c r="B3897" s="32"/>
    </row>
    <row r="3898" spans="1:2" x14ac:dyDescent="0.35">
      <c r="A3898" s="32" t="s">
        <v>1484</v>
      </c>
      <c r="B3898" s="32"/>
    </row>
    <row r="3899" spans="1:2" x14ac:dyDescent="0.35">
      <c r="A3899" s="32" t="s">
        <v>1857</v>
      </c>
      <c r="B3899" s="32"/>
    </row>
    <row r="3900" spans="1:2" x14ac:dyDescent="0.35">
      <c r="A3900" s="32" t="s">
        <v>1858</v>
      </c>
      <c r="B3900" s="32"/>
    </row>
    <row r="3901" spans="1:2" x14ac:dyDescent="0.35">
      <c r="A3901" s="32" t="s">
        <v>1485</v>
      </c>
      <c r="B3901" s="32"/>
    </row>
    <row r="3902" spans="1:2" x14ac:dyDescent="0.35">
      <c r="A3902" s="32" t="s">
        <v>1486</v>
      </c>
      <c r="B3902" s="32"/>
    </row>
    <row r="3903" spans="1:2" x14ac:dyDescent="0.35">
      <c r="A3903" s="32" t="s">
        <v>1487</v>
      </c>
      <c r="B3903" s="32"/>
    </row>
    <row r="3904" spans="1:2" x14ac:dyDescent="0.35">
      <c r="A3904" s="32" t="s">
        <v>1488</v>
      </c>
      <c r="B3904" s="32"/>
    </row>
    <row r="3905" spans="1:2" x14ac:dyDescent="0.35">
      <c r="A3905" s="32" t="s">
        <v>1859</v>
      </c>
      <c r="B3905" s="32"/>
    </row>
    <row r="3906" spans="1:2" x14ac:dyDescent="0.35">
      <c r="A3906" s="32" t="s">
        <v>1860</v>
      </c>
      <c r="B3906" s="32"/>
    </row>
    <row r="3907" spans="1:2" x14ac:dyDescent="0.35">
      <c r="A3907" s="32" t="s">
        <v>1491</v>
      </c>
      <c r="B3907" s="32"/>
    </row>
    <row r="3908" spans="1:2" x14ac:dyDescent="0.35">
      <c r="A3908" s="32" t="s">
        <v>1492</v>
      </c>
      <c r="B3908" s="32"/>
    </row>
    <row r="3909" spans="1:2" x14ac:dyDescent="0.35">
      <c r="A3909" s="32" t="s">
        <v>1861</v>
      </c>
      <c r="B3909" s="32"/>
    </row>
    <row r="3910" spans="1:2" x14ac:dyDescent="0.35">
      <c r="A3910" s="32" t="s">
        <v>1493</v>
      </c>
      <c r="B3910" s="32"/>
    </row>
    <row r="3911" spans="1:2" x14ac:dyDescent="0.35">
      <c r="A3911" s="32"/>
      <c r="B3911" s="32"/>
    </row>
    <row r="3912" spans="1:2" x14ac:dyDescent="0.35">
      <c r="A3912" s="32"/>
      <c r="B3912" s="32"/>
    </row>
    <row r="3913" spans="1:2" x14ac:dyDescent="0.35">
      <c r="A3913" s="32"/>
      <c r="B3913" s="32"/>
    </row>
    <row r="3914" spans="1:2" x14ac:dyDescent="0.35">
      <c r="A3914" s="32"/>
      <c r="B3914" s="32"/>
    </row>
    <row r="3915" spans="1:2" x14ac:dyDescent="0.35">
      <c r="A3915" s="32"/>
      <c r="B3915" s="32"/>
    </row>
    <row r="3916" spans="1:2" x14ac:dyDescent="0.35">
      <c r="A3916" s="32"/>
      <c r="B3916" s="32"/>
    </row>
    <row r="3917" spans="1:2" x14ac:dyDescent="0.35">
      <c r="A3917" s="32"/>
      <c r="B3917" s="32"/>
    </row>
    <row r="3918" spans="1:2" x14ac:dyDescent="0.35">
      <c r="A3918" s="32"/>
      <c r="B3918" s="32"/>
    </row>
    <row r="3919" spans="1:2" x14ac:dyDescent="0.35">
      <c r="A3919" s="32"/>
      <c r="B3919" s="32"/>
    </row>
    <row r="3920" spans="1:2" x14ac:dyDescent="0.35">
      <c r="A3920" s="32"/>
      <c r="B3920" s="32"/>
    </row>
    <row r="3921" spans="1:2" x14ac:dyDescent="0.35">
      <c r="A3921" s="32"/>
      <c r="B3921" s="32"/>
    </row>
    <row r="3922" spans="1:2" x14ac:dyDescent="0.35">
      <c r="A3922" s="32"/>
      <c r="B3922" s="32"/>
    </row>
    <row r="3923" spans="1:2" x14ac:dyDescent="0.35">
      <c r="A3923" s="32"/>
      <c r="B3923" s="32"/>
    </row>
    <row r="3924" spans="1:2" x14ac:dyDescent="0.35">
      <c r="A3924" s="32"/>
      <c r="B3924" s="32"/>
    </row>
    <row r="3925" spans="1:2" x14ac:dyDescent="0.35">
      <c r="A3925" s="32"/>
      <c r="B3925" s="32"/>
    </row>
    <row r="3926" spans="1:2" x14ac:dyDescent="0.35">
      <c r="A3926" s="32"/>
      <c r="B3926" s="32"/>
    </row>
    <row r="3927" spans="1:2" x14ac:dyDescent="0.35">
      <c r="A3927" s="32"/>
      <c r="B3927" s="32"/>
    </row>
    <row r="3928" spans="1:2" x14ac:dyDescent="0.35">
      <c r="A3928" s="32"/>
      <c r="B3928" s="32"/>
    </row>
    <row r="3929" spans="1:2" x14ac:dyDescent="0.35">
      <c r="A3929" s="32"/>
      <c r="B3929" s="32"/>
    </row>
    <row r="3930" spans="1:2" x14ac:dyDescent="0.35">
      <c r="A3930" s="32"/>
      <c r="B3930" s="32"/>
    </row>
    <row r="3931" spans="1:2" x14ac:dyDescent="0.35">
      <c r="A3931" s="32"/>
      <c r="B3931" s="32"/>
    </row>
    <row r="3932" spans="1:2" x14ac:dyDescent="0.35">
      <c r="A3932" s="32"/>
      <c r="B3932" s="32"/>
    </row>
    <row r="3933" spans="1:2" x14ac:dyDescent="0.35">
      <c r="A3933" s="32"/>
      <c r="B3933" s="32"/>
    </row>
    <row r="3934" spans="1:2" x14ac:dyDescent="0.35">
      <c r="A3934" s="32"/>
      <c r="B3934" s="32"/>
    </row>
    <row r="3935" spans="1:2" x14ac:dyDescent="0.35">
      <c r="A3935" s="32"/>
      <c r="B3935" s="32"/>
    </row>
    <row r="3936" spans="1:2" x14ac:dyDescent="0.35">
      <c r="A3936" s="32"/>
      <c r="B3936" s="32"/>
    </row>
    <row r="3937" spans="1:2" x14ac:dyDescent="0.35">
      <c r="A3937" s="32"/>
      <c r="B3937" s="32"/>
    </row>
    <row r="3938" spans="1:2" x14ac:dyDescent="0.35">
      <c r="A3938" s="32"/>
      <c r="B3938" s="32"/>
    </row>
    <row r="3939" spans="1:2" x14ac:dyDescent="0.35">
      <c r="A3939" s="32"/>
      <c r="B3939" s="32"/>
    </row>
    <row r="3940" spans="1:2" x14ac:dyDescent="0.35">
      <c r="A3940" s="32"/>
      <c r="B3940" s="32"/>
    </row>
    <row r="3941" spans="1:2" x14ac:dyDescent="0.35">
      <c r="A3941" s="32"/>
      <c r="B3941" s="32"/>
    </row>
    <row r="3942" spans="1:2" x14ac:dyDescent="0.35">
      <c r="A3942" s="32"/>
      <c r="B3942" s="32"/>
    </row>
    <row r="3943" spans="1:2" x14ac:dyDescent="0.35">
      <c r="A3943" s="32"/>
      <c r="B3943" s="32"/>
    </row>
    <row r="3944" spans="1:2" x14ac:dyDescent="0.35">
      <c r="A3944" s="32"/>
      <c r="B3944" s="32"/>
    </row>
    <row r="3945" spans="1:2" x14ac:dyDescent="0.35">
      <c r="A3945" s="32"/>
      <c r="B3945" s="32"/>
    </row>
    <row r="3946" spans="1:2" x14ac:dyDescent="0.35">
      <c r="A3946" s="32"/>
      <c r="B3946" s="32"/>
    </row>
    <row r="3947" spans="1:2" x14ac:dyDescent="0.35">
      <c r="A3947" s="32"/>
      <c r="B3947" s="32"/>
    </row>
    <row r="3948" spans="1:2" x14ac:dyDescent="0.35">
      <c r="A3948" s="32"/>
      <c r="B3948" s="32"/>
    </row>
    <row r="3949" spans="1:2" x14ac:dyDescent="0.35">
      <c r="A3949" s="32"/>
      <c r="B3949" s="32"/>
    </row>
    <row r="3950" spans="1:2" x14ac:dyDescent="0.35">
      <c r="A3950" s="32"/>
      <c r="B3950" s="32"/>
    </row>
    <row r="3951" spans="1:2" x14ac:dyDescent="0.35">
      <c r="A3951" s="32"/>
      <c r="B3951" s="32"/>
    </row>
    <row r="3952" spans="1:2" x14ac:dyDescent="0.35">
      <c r="A3952" s="32"/>
      <c r="B3952" s="32"/>
    </row>
    <row r="3953" spans="1:2" x14ac:dyDescent="0.35">
      <c r="A3953" s="32"/>
      <c r="B3953" s="32"/>
    </row>
    <row r="3954" spans="1:2" x14ac:dyDescent="0.35">
      <c r="A3954" s="32"/>
      <c r="B3954" s="32"/>
    </row>
    <row r="3955" spans="1:2" x14ac:dyDescent="0.35">
      <c r="A3955" s="32"/>
      <c r="B3955" s="32"/>
    </row>
    <row r="3956" spans="1:2" x14ac:dyDescent="0.35">
      <c r="A3956" s="32"/>
      <c r="B3956" s="32"/>
    </row>
    <row r="3957" spans="1:2" x14ac:dyDescent="0.35">
      <c r="A3957" s="32"/>
      <c r="B3957" s="32"/>
    </row>
    <row r="3958" spans="1:2" x14ac:dyDescent="0.35">
      <c r="A3958" s="32"/>
      <c r="B3958" s="32"/>
    </row>
    <row r="3959" spans="1:2" x14ac:dyDescent="0.35">
      <c r="A3959" s="32"/>
      <c r="B3959" s="32"/>
    </row>
    <row r="3960" spans="1:2" x14ac:dyDescent="0.35">
      <c r="A3960" s="32"/>
      <c r="B3960" s="32"/>
    </row>
    <row r="3961" spans="1:2" x14ac:dyDescent="0.35">
      <c r="A3961" s="32"/>
      <c r="B3961" s="32"/>
    </row>
    <row r="3962" spans="1:2" x14ac:dyDescent="0.35">
      <c r="A3962" s="32"/>
      <c r="B3962" s="32"/>
    </row>
    <row r="3963" spans="1:2" x14ac:dyDescent="0.35">
      <c r="A3963" s="32"/>
      <c r="B3963" s="32"/>
    </row>
    <row r="3964" spans="1:2" x14ac:dyDescent="0.35">
      <c r="A3964" s="32"/>
      <c r="B3964" s="32"/>
    </row>
    <row r="3965" spans="1:2" x14ac:dyDescent="0.35">
      <c r="A3965" s="32"/>
      <c r="B3965" s="32"/>
    </row>
    <row r="3966" spans="1:2" x14ac:dyDescent="0.35">
      <c r="A3966" s="32"/>
      <c r="B3966" s="32"/>
    </row>
    <row r="3967" spans="1:2" x14ac:dyDescent="0.35">
      <c r="A3967" s="32"/>
      <c r="B3967" s="32"/>
    </row>
    <row r="3968" spans="1:2" x14ac:dyDescent="0.35">
      <c r="A3968" s="32"/>
      <c r="B3968" s="32"/>
    </row>
    <row r="3969" spans="1:2" x14ac:dyDescent="0.35">
      <c r="A3969" s="32"/>
      <c r="B3969" s="32"/>
    </row>
    <row r="3970" spans="1:2" x14ac:dyDescent="0.35">
      <c r="A3970" s="32"/>
      <c r="B3970" s="32"/>
    </row>
    <row r="3971" spans="1:2" x14ac:dyDescent="0.35">
      <c r="A3971" s="32"/>
      <c r="B3971" s="32"/>
    </row>
    <row r="3972" spans="1:2" x14ac:dyDescent="0.35">
      <c r="A3972" s="32"/>
      <c r="B3972" s="32"/>
    </row>
    <row r="3973" spans="1:2" x14ac:dyDescent="0.35">
      <c r="A3973" s="32"/>
      <c r="B3973" s="32"/>
    </row>
    <row r="3974" spans="1:2" x14ac:dyDescent="0.35">
      <c r="A3974" s="32"/>
      <c r="B3974" s="32"/>
    </row>
    <row r="3975" spans="1:2" x14ac:dyDescent="0.35">
      <c r="A3975" s="32"/>
      <c r="B3975" s="32"/>
    </row>
    <row r="3976" spans="1:2" x14ac:dyDescent="0.35">
      <c r="A3976" s="32"/>
      <c r="B3976" s="32"/>
    </row>
    <row r="3977" spans="1:2" x14ac:dyDescent="0.35">
      <c r="A3977" s="32"/>
      <c r="B3977" s="32"/>
    </row>
    <row r="3978" spans="1:2" x14ac:dyDescent="0.35">
      <c r="A3978" s="32"/>
      <c r="B3978" s="32"/>
    </row>
    <row r="3979" spans="1:2" x14ac:dyDescent="0.35">
      <c r="A3979" s="32"/>
      <c r="B3979" s="32"/>
    </row>
    <row r="3980" spans="1:2" x14ac:dyDescent="0.35">
      <c r="A3980" s="32"/>
      <c r="B3980" s="32"/>
    </row>
    <row r="3981" spans="1:2" x14ac:dyDescent="0.35">
      <c r="A3981" s="32"/>
      <c r="B3981" s="32"/>
    </row>
    <row r="3982" spans="1:2" x14ac:dyDescent="0.35">
      <c r="A3982" s="32"/>
      <c r="B3982" s="32"/>
    </row>
    <row r="3983" spans="1:2" x14ac:dyDescent="0.35">
      <c r="A3983" s="32"/>
      <c r="B3983" s="32"/>
    </row>
    <row r="3984" spans="1:2" x14ac:dyDescent="0.35">
      <c r="A3984" s="32"/>
      <c r="B3984" s="32"/>
    </row>
    <row r="3985" spans="1:2" x14ac:dyDescent="0.35">
      <c r="A3985" s="32"/>
      <c r="B3985" s="32"/>
    </row>
    <row r="3986" spans="1:2" x14ac:dyDescent="0.35">
      <c r="A3986" s="32"/>
      <c r="B3986" s="32"/>
    </row>
    <row r="3987" spans="1:2" x14ac:dyDescent="0.35">
      <c r="A3987" s="32"/>
      <c r="B3987" s="32"/>
    </row>
    <row r="3988" spans="1:2" x14ac:dyDescent="0.35">
      <c r="A3988" s="32"/>
      <c r="B3988" s="32"/>
    </row>
    <row r="3989" spans="1:2" x14ac:dyDescent="0.35">
      <c r="A3989" s="32"/>
      <c r="B3989" s="32"/>
    </row>
    <row r="3990" spans="1:2" x14ac:dyDescent="0.35">
      <c r="A3990" s="32"/>
      <c r="B3990" s="32"/>
    </row>
    <row r="3991" spans="1:2" x14ac:dyDescent="0.35">
      <c r="A3991" s="32"/>
      <c r="B3991" s="32"/>
    </row>
    <row r="3992" spans="1:2" x14ac:dyDescent="0.35">
      <c r="A3992" s="32"/>
      <c r="B3992" s="32"/>
    </row>
    <row r="3993" spans="1:2" x14ac:dyDescent="0.35">
      <c r="A3993" s="32"/>
      <c r="B3993" s="32"/>
    </row>
    <row r="3994" spans="1:2" x14ac:dyDescent="0.35">
      <c r="A3994" s="32"/>
      <c r="B3994" s="32"/>
    </row>
    <row r="3995" spans="1:2" x14ac:dyDescent="0.35">
      <c r="A3995" s="32"/>
      <c r="B3995" s="32"/>
    </row>
    <row r="3996" spans="1:2" x14ac:dyDescent="0.35">
      <c r="A3996" s="32"/>
      <c r="B3996" s="32"/>
    </row>
    <row r="3997" spans="1:2" x14ac:dyDescent="0.35">
      <c r="A3997" s="32"/>
      <c r="B3997" s="32"/>
    </row>
    <row r="3998" spans="1:2" x14ac:dyDescent="0.35">
      <c r="A3998" s="32"/>
      <c r="B3998" s="32"/>
    </row>
    <row r="3999" spans="1:2" x14ac:dyDescent="0.35">
      <c r="A3999" s="32"/>
      <c r="B3999" s="32"/>
    </row>
    <row r="4000" spans="1:2" x14ac:dyDescent="0.35">
      <c r="A4000" s="32"/>
      <c r="B4000" s="32"/>
    </row>
    <row r="4001" spans="1:2" x14ac:dyDescent="0.35">
      <c r="A4001" s="32"/>
      <c r="B4001" s="32"/>
    </row>
    <row r="4002" spans="1:2" x14ac:dyDescent="0.35">
      <c r="A4002" s="32"/>
      <c r="B4002" s="32"/>
    </row>
    <row r="4003" spans="1:2" x14ac:dyDescent="0.35">
      <c r="A4003" s="32"/>
      <c r="B4003" s="32"/>
    </row>
    <row r="4004" spans="1:2" x14ac:dyDescent="0.35">
      <c r="A4004" s="32"/>
      <c r="B4004" s="32"/>
    </row>
    <row r="4005" spans="1:2" x14ac:dyDescent="0.35">
      <c r="A4005" s="32"/>
      <c r="B4005" s="32"/>
    </row>
    <row r="4006" spans="1:2" x14ac:dyDescent="0.35">
      <c r="A4006" s="32"/>
      <c r="B4006" s="32"/>
    </row>
    <row r="4007" spans="1:2" x14ac:dyDescent="0.35">
      <c r="A4007" s="32"/>
      <c r="B4007" s="32"/>
    </row>
    <row r="4008" spans="1:2" x14ac:dyDescent="0.35">
      <c r="A4008" s="32"/>
      <c r="B4008" s="32"/>
    </row>
    <row r="4009" spans="1:2" x14ac:dyDescent="0.35">
      <c r="A4009" s="32"/>
      <c r="B4009" s="32"/>
    </row>
    <row r="4010" spans="1:2" x14ac:dyDescent="0.35">
      <c r="A4010" s="32"/>
      <c r="B4010" s="32"/>
    </row>
    <row r="4011" spans="1:2" x14ac:dyDescent="0.35">
      <c r="A4011" s="32"/>
      <c r="B4011" s="32"/>
    </row>
    <row r="4012" spans="1:2" x14ac:dyDescent="0.35">
      <c r="A4012" s="32"/>
      <c r="B4012" s="32"/>
    </row>
    <row r="4013" spans="1:2" x14ac:dyDescent="0.35">
      <c r="A4013" s="32"/>
      <c r="B4013" s="32"/>
    </row>
    <row r="4014" spans="1:2" x14ac:dyDescent="0.35">
      <c r="A4014" s="32"/>
      <c r="B4014" s="32"/>
    </row>
    <row r="4015" spans="1:2" x14ac:dyDescent="0.35">
      <c r="A4015" s="32"/>
      <c r="B4015" s="32"/>
    </row>
    <row r="4016" spans="1:2" x14ac:dyDescent="0.35">
      <c r="A4016" s="32"/>
      <c r="B4016" s="32"/>
    </row>
    <row r="4017" spans="1:2" x14ac:dyDescent="0.35">
      <c r="A4017" s="32"/>
      <c r="B4017" s="32"/>
    </row>
    <row r="4018" spans="1:2" x14ac:dyDescent="0.35">
      <c r="A4018" s="32"/>
      <c r="B4018" s="32"/>
    </row>
    <row r="4019" spans="1:2" x14ac:dyDescent="0.35">
      <c r="A4019" s="32"/>
      <c r="B4019" s="32"/>
    </row>
    <row r="4020" spans="1:2" x14ac:dyDescent="0.35">
      <c r="A4020" s="32"/>
      <c r="B4020" s="32"/>
    </row>
    <row r="4021" spans="1:2" x14ac:dyDescent="0.35">
      <c r="A4021" s="32"/>
      <c r="B4021" s="32"/>
    </row>
    <row r="4022" spans="1:2" x14ac:dyDescent="0.35">
      <c r="A4022" s="32"/>
      <c r="B4022" s="32"/>
    </row>
    <row r="4023" spans="1:2" x14ac:dyDescent="0.35">
      <c r="A4023" s="32"/>
      <c r="B4023" s="32"/>
    </row>
    <row r="4024" spans="1:2" x14ac:dyDescent="0.35">
      <c r="A4024" s="32"/>
      <c r="B4024" s="32"/>
    </row>
    <row r="4025" spans="1:2" x14ac:dyDescent="0.35">
      <c r="A4025" s="32"/>
      <c r="B4025" s="32"/>
    </row>
    <row r="4026" spans="1:2" x14ac:dyDescent="0.35">
      <c r="A4026" s="32"/>
      <c r="B4026" s="32"/>
    </row>
    <row r="4027" spans="1:2" x14ac:dyDescent="0.35">
      <c r="A4027" s="32"/>
      <c r="B4027" s="32"/>
    </row>
    <row r="4028" spans="1:2" x14ac:dyDescent="0.35">
      <c r="A4028" s="32"/>
      <c r="B4028" s="32"/>
    </row>
    <row r="4029" spans="1:2" x14ac:dyDescent="0.35">
      <c r="A4029" s="32"/>
      <c r="B4029" s="32"/>
    </row>
    <row r="4030" spans="1:2" x14ac:dyDescent="0.35">
      <c r="A4030" s="32"/>
      <c r="B4030" s="32"/>
    </row>
    <row r="4031" spans="1:2" x14ac:dyDescent="0.35">
      <c r="A4031" s="32"/>
      <c r="B4031" s="32"/>
    </row>
    <row r="4032" spans="1:2" x14ac:dyDescent="0.35">
      <c r="A4032" s="32"/>
      <c r="B4032" s="32"/>
    </row>
    <row r="4033" spans="1:2" x14ac:dyDescent="0.35">
      <c r="A4033" s="32"/>
      <c r="B4033" s="32"/>
    </row>
    <row r="4034" spans="1:2" x14ac:dyDescent="0.35">
      <c r="A4034" s="32"/>
      <c r="B4034" s="32"/>
    </row>
    <row r="4035" spans="1:2" x14ac:dyDescent="0.35">
      <c r="A4035" s="32"/>
      <c r="B4035" s="32"/>
    </row>
    <row r="4036" spans="1:2" x14ac:dyDescent="0.35">
      <c r="A4036" s="32"/>
      <c r="B4036" s="32"/>
    </row>
    <row r="4037" spans="1:2" x14ac:dyDescent="0.35">
      <c r="A4037" s="32"/>
      <c r="B4037" s="32"/>
    </row>
    <row r="4038" spans="1:2" x14ac:dyDescent="0.35">
      <c r="A4038" s="32"/>
      <c r="B4038" s="32"/>
    </row>
    <row r="4039" spans="1:2" x14ac:dyDescent="0.35">
      <c r="A4039" s="32"/>
      <c r="B4039" s="32"/>
    </row>
    <row r="4040" spans="1:2" x14ac:dyDescent="0.35">
      <c r="A4040" s="32"/>
      <c r="B4040" s="32"/>
    </row>
    <row r="4041" spans="1:2" x14ac:dyDescent="0.35">
      <c r="A4041" s="32"/>
      <c r="B4041" s="32"/>
    </row>
    <row r="4042" spans="1:2" x14ac:dyDescent="0.35">
      <c r="A4042" s="32"/>
      <c r="B4042" s="32"/>
    </row>
    <row r="4043" spans="1:2" x14ac:dyDescent="0.35">
      <c r="A4043" s="32"/>
      <c r="B4043" s="32"/>
    </row>
    <row r="4044" spans="1:2" x14ac:dyDescent="0.35">
      <c r="A4044" s="32"/>
      <c r="B4044" s="32"/>
    </row>
    <row r="4045" spans="1:2" x14ac:dyDescent="0.35">
      <c r="A4045" s="32"/>
      <c r="B4045" s="32"/>
    </row>
    <row r="4046" spans="1:2" x14ac:dyDescent="0.35">
      <c r="A4046" s="32"/>
      <c r="B4046" s="32"/>
    </row>
    <row r="4047" spans="1:2" x14ac:dyDescent="0.35">
      <c r="A4047" s="32"/>
      <c r="B4047" s="32"/>
    </row>
    <row r="4048" spans="1:2" x14ac:dyDescent="0.35">
      <c r="A4048" s="32"/>
      <c r="B4048" s="32"/>
    </row>
    <row r="4049" spans="1:2" x14ac:dyDescent="0.35">
      <c r="A4049" s="32"/>
      <c r="B4049" s="32"/>
    </row>
    <row r="4050" spans="1:2" x14ac:dyDescent="0.35">
      <c r="A4050" s="32"/>
      <c r="B4050" s="32"/>
    </row>
    <row r="4051" spans="1:2" x14ac:dyDescent="0.35">
      <c r="A4051" s="32"/>
      <c r="B4051" s="32"/>
    </row>
    <row r="4052" spans="1:2" x14ac:dyDescent="0.35">
      <c r="A4052" s="32"/>
      <c r="B4052" s="32"/>
    </row>
    <row r="4053" spans="1:2" x14ac:dyDescent="0.35">
      <c r="A4053" s="32"/>
      <c r="B4053" s="32"/>
    </row>
    <row r="4054" spans="1:2" x14ac:dyDescent="0.35">
      <c r="A4054" s="32"/>
      <c r="B4054" s="32"/>
    </row>
    <row r="4055" spans="1:2" x14ac:dyDescent="0.35">
      <c r="A4055" s="32"/>
      <c r="B4055" s="32"/>
    </row>
    <row r="4056" spans="1:2" x14ac:dyDescent="0.35">
      <c r="A4056" s="32"/>
      <c r="B4056" s="32"/>
    </row>
    <row r="4057" spans="1:2" x14ac:dyDescent="0.35">
      <c r="A4057" s="32"/>
      <c r="B4057" s="32"/>
    </row>
    <row r="4058" spans="1:2" x14ac:dyDescent="0.35">
      <c r="A4058" s="32"/>
      <c r="B4058" s="32"/>
    </row>
    <row r="4059" spans="1:2" x14ac:dyDescent="0.35">
      <c r="A4059" s="32"/>
      <c r="B4059" s="32"/>
    </row>
    <row r="4060" spans="1:2" x14ac:dyDescent="0.35">
      <c r="A4060" s="32"/>
      <c r="B4060" s="32"/>
    </row>
    <row r="4061" spans="1:2" x14ac:dyDescent="0.35">
      <c r="A4061" s="32"/>
      <c r="B4061" s="32"/>
    </row>
    <row r="4062" spans="1:2" x14ac:dyDescent="0.35">
      <c r="A4062" s="32"/>
      <c r="B4062" s="32"/>
    </row>
    <row r="4063" spans="1:2" x14ac:dyDescent="0.35">
      <c r="A4063" s="32"/>
      <c r="B4063" s="32"/>
    </row>
    <row r="4064" spans="1:2" x14ac:dyDescent="0.35">
      <c r="A4064" s="32"/>
      <c r="B4064" s="32"/>
    </row>
    <row r="4065" spans="1:2" x14ac:dyDescent="0.35">
      <c r="A4065" s="32"/>
      <c r="B4065" s="32"/>
    </row>
    <row r="4066" spans="1:2" x14ac:dyDescent="0.35">
      <c r="A4066" s="32"/>
      <c r="B4066" s="32"/>
    </row>
    <row r="4067" spans="1:2" x14ac:dyDescent="0.35">
      <c r="A4067" s="32"/>
      <c r="B4067" s="32"/>
    </row>
    <row r="4068" spans="1:2" x14ac:dyDescent="0.35">
      <c r="A4068" s="32"/>
      <c r="B4068" s="32"/>
    </row>
    <row r="4069" spans="1:2" x14ac:dyDescent="0.35">
      <c r="A4069" s="32"/>
      <c r="B4069" s="32"/>
    </row>
    <row r="4070" spans="1:2" x14ac:dyDescent="0.35">
      <c r="A4070" s="32"/>
      <c r="B4070" s="32"/>
    </row>
    <row r="4071" spans="1:2" x14ac:dyDescent="0.35">
      <c r="A4071" s="32"/>
      <c r="B4071" s="32"/>
    </row>
    <row r="4072" spans="1:2" x14ac:dyDescent="0.35">
      <c r="A4072" s="32"/>
      <c r="B4072" s="32"/>
    </row>
    <row r="4073" spans="1:2" x14ac:dyDescent="0.35">
      <c r="A4073" s="32"/>
      <c r="B4073" s="32"/>
    </row>
    <row r="4074" spans="1:2" x14ac:dyDescent="0.35">
      <c r="A4074" s="32"/>
      <c r="B4074" s="32"/>
    </row>
    <row r="4075" spans="1:2" x14ac:dyDescent="0.35">
      <c r="A4075" s="32"/>
      <c r="B4075" s="32"/>
    </row>
    <row r="4076" spans="1:2" x14ac:dyDescent="0.35">
      <c r="A4076" s="32"/>
      <c r="B4076" s="32"/>
    </row>
    <row r="4077" spans="1:2" x14ac:dyDescent="0.35">
      <c r="A4077" s="32"/>
      <c r="B4077" s="32"/>
    </row>
    <row r="4078" spans="1:2" x14ac:dyDescent="0.35">
      <c r="A4078" s="32"/>
      <c r="B4078" s="32"/>
    </row>
    <row r="4079" spans="1:2" x14ac:dyDescent="0.35">
      <c r="A4079" s="32"/>
      <c r="B4079" s="32"/>
    </row>
    <row r="4080" spans="1:2" x14ac:dyDescent="0.35">
      <c r="A4080" s="32"/>
      <c r="B4080" s="32"/>
    </row>
    <row r="4081" spans="1:2" x14ac:dyDescent="0.35">
      <c r="A4081" s="32"/>
      <c r="B4081" s="32"/>
    </row>
    <row r="4082" spans="1:2" x14ac:dyDescent="0.35">
      <c r="A4082" s="32"/>
      <c r="B4082" s="32"/>
    </row>
    <row r="4083" spans="1:2" x14ac:dyDescent="0.35">
      <c r="A4083" s="32"/>
      <c r="B4083" s="32"/>
    </row>
    <row r="4084" spans="1:2" x14ac:dyDescent="0.35">
      <c r="A4084" s="32"/>
      <c r="B4084" s="32"/>
    </row>
    <row r="4085" spans="1:2" x14ac:dyDescent="0.35">
      <c r="A4085" s="32"/>
      <c r="B4085" s="32"/>
    </row>
    <row r="4086" spans="1:2" x14ac:dyDescent="0.35">
      <c r="A4086" s="32"/>
      <c r="B4086" s="32"/>
    </row>
    <row r="4087" spans="1:2" x14ac:dyDescent="0.35">
      <c r="A4087" s="32"/>
      <c r="B4087" s="32"/>
    </row>
    <row r="4088" spans="1:2" x14ac:dyDescent="0.35">
      <c r="A4088" s="32"/>
      <c r="B4088" s="32"/>
    </row>
    <row r="4089" spans="1:2" x14ac:dyDescent="0.35">
      <c r="A4089" s="32"/>
      <c r="B4089" s="32"/>
    </row>
    <row r="4090" spans="1:2" x14ac:dyDescent="0.35">
      <c r="A4090" s="32"/>
      <c r="B4090" s="32"/>
    </row>
    <row r="4091" spans="1:2" x14ac:dyDescent="0.35">
      <c r="A4091" s="32"/>
      <c r="B4091" s="32"/>
    </row>
    <row r="4092" spans="1:2" x14ac:dyDescent="0.35">
      <c r="A4092" s="32"/>
      <c r="B4092" s="32"/>
    </row>
    <row r="4093" spans="1:2" x14ac:dyDescent="0.35">
      <c r="A4093" s="32"/>
      <c r="B4093" s="32"/>
    </row>
    <row r="4094" spans="1:2" x14ac:dyDescent="0.35">
      <c r="A4094" s="32"/>
      <c r="B4094" s="32"/>
    </row>
    <row r="4095" spans="1:2" x14ac:dyDescent="0.35">
      <c r="A4095" s="32"/>
      <c r="B4095" s="32"/>
    </row>
    <row r="4096" spans="1:2" x14ac:dyDescent="0.35">
      <c r="A4096" s="32"/>
      <c r="B4096" s="32"/>
    </row>
    <row r="4097" spans="1:2" x14ac:dyDescent="0.35">
      <c r="A4097" s="32"/>
      <c r="B4097" s="32"/>
    </row>
    <row r="4098" spans="1:2" x14ac:dyDescent="0.35">
      <c r="A4098" s="32"/>
      <c r="B4098" s="32"/>
    </row>
    <row r="4099" spans="1:2" x14ac:dyDescent="0.35">
      <c r="A4099" s="32"/>
      <c r="B4099" s="32"/>
    </row>
    <row r="4100" spans="1:2" x14ac:dyDescent="0.35">
      <c r="A4100" s="32"/>
      <c r="B4100" s="32"/>
    </row>
    <row r="4101" spans="1:2" x14ac:dyDescent="0.35">
      <c r="A4101" s="32"/>
      <c r="B4101" s="32"/>
    </row>
    <row r="4102" spans="1:2" x14ac:dyDescent="0.35">
      <c r="A4102" s="32"/>
      <c r="B4102" s="32"/>
    </row>
    <row r="4103" spans="1:2" x14ac:dyDescent="0.35">
      <c r="A4103" s="32"/>
      <c r="B4103" s="32"/>
    </row>
    <row r="4104" spans="1:2" x14ac:dyDescent="0.35">
      <c r="A4104" s="32"/>
      <c r="B4104" s="32"/>
    </row>
    <row r="4105" spans="1:2" x14ac:dyDescent="0.35">
      <c r="A4105" s="32"/>
      <c r="B4105" s="32"/>
    </row>
    <row r="4106" spans="1:2" x14ac:dyDescent="0.35">
      <c r="A4106" s="32"/>
      <c r="B4106" s="32"/>
    </row>
    <row r="4107" spans="1:2" x14ac:dyDescent="0.35">
      <c r="A4107" s="32"/>
      <c r="B4107" s="32"/>
    </row>
    <row r="4108" spans="1:2" x14ac:dyDescent="0.35">
      <c r="A4108" s="32"/>
      <c r="B4108" s="32"/>
    </row>
    <row r="4109" spans="1:2" x14ac:dyDescent="0.35">
      <c r="A4109" s="32"/>
      <c r="B4109" s="32"/>
    </row>
    <row r="4110" spans="1:2" x14ac:dyDescent="0.35">
      <c r="A4110" s="32"/>
      <c r="B4110" s="32"/>
    </row>
    <row r="4111" spans="1:2" x14ac:dyDescent="0.35">
      <c r="A4111" s="32"/>
      <c r="B4111" s="32"/>
    </row>
    <row r="4112" spans="1:2" x14ac:dyDescent="0.35">
      <c r="A4112" s="32"/>
      <c r="B4112" s="32"/>
    </row>
    <row r="4113" spans="1:2" x14ac:dyDescent="0.35">
      <c r="A4113" s="32"/>
      <c r="B4113" s="32"/>
    </row>
    <row r="4114" spans="1:2" x14ac:dyDescent="0.35">
      <c r="A4114" s="32"/>
      <c r="B4114" s="32"/>
    </row>
    <row r="4115" spans="1:2" x14ac:dyDescent="0.35">
      <c r="A4115" s="32"/>
      <c r="B4115" s="32"/>
    </row>
    <row r="4116" spans="1:2" x14ac:dyDescent="0.35">
      <c r="A4116" s="32"/>
      <c r="B4116" s="32"/>
    </row>
    <row r="4117" spans="1:2" x14ac:dyDescent="0.35">
      <c r="A4117" s="32"/>
      <c r="B4117" s="32"/>
    </row>
    <row r="4118" spans="1:2" x14ac:dyDescent="0.35">
      <c r="A4118" s="32"/>
      <c r="B4118" s="32"/>
    </row>
    <row r="4119" spans="1:2" x14ac:dyDescent="0.35">
      <c r="A4119" s="32"/>
      <c r="B4119" s="32"/>
    </row>
    <row r="4120" spans="1:2" x14ac:dyDescent="0.35">
      <c r="A4120" s="32"/>
      <c r="B4120" s="32"/>
    </row>
    <row r="4121" spans="1:2" x14ac:dyDescent="0.35">
      <c r="A4121" s="32"/>
      <c r="B4121" s="32"/>
    </row>
    <row r="4122" spans="1:2" x14ac:dyDescent="0.35">
      <c r="A4122" s="32"/>
      <c r="B4122" s="32"/>
    </row>
    <row r="4123" spans="1:2" x14ac:dyDescent="0.35">
      <c r="A4123" s="32"/>
      <c r="B4123" s="32"/>
    </row>
    <row r="4124" spans="1:2" x14ac:dyDescent="0.35">
      <c r="A4124" s="32"/>
      <c r="B4124" s="32"/>
    </row>
    <row r="4125" spans="1:2" x14ac:dyDescent="0.35">
      <c r="A4125" s="32"/>
      <c r="B4125" s="32"/>
    </row>
    <row r="4126" spans="1:2" x14ac:dyDescent="0.35">
      <c r="A4126" s="32"/>
      <c r="B4126" s="32"/>
    </row>
    <row r="4127" spans="1:2" x14ac:dyDescent="0.35">
      <c r="A4127" s="32"/>
      <c r="B4127" s="32"/>
    </row>
    <row r="4128" spans="1:2" x14ac:dyDescent="0.35">
      <c r="A4128" s="32"/>
      <c r="B4128" s="32"/>
    </row>
    <row r="4129" spans="1:2" x14ac:dyDescent="0.35">
      <c r="A4129" s="32"/>
      <c r="B4129" s="32"/>
    </row>
    <row r="4130" spans="1:2" x14ac:dyDescent="0.35">
      <c r="A4130" s="32"/>
      <c r="B4130" s="32"/>
    </row>
    <row r="4131" spans="1:2" x14ac:dyDescent="0.35">
      <c r="A4131" s="32"/>
      <c r="B4131" s="32"/>
    </row>
    <row r="4132" spans="1:2" x14ac:dyDescent="0.35">
      <c r="A4132" s="32"/>
      <c r="B4132" s="32"/>
    </row>
    <row r="4133" spans="1:2" x14ac:dyDescent="0.35">
      <c r="A4133" s="32"/>
      <c r="B4133" s="32"/>
    </row>
    <row r="4134" spans="1:2" x14ac:dyDescent="0.35">
      <c r="A4134" s="32"/>
      <c r="B4134" s="32"/>
    </row>
    <row r="4135" spans="1:2" x14ac:dyDescent="0.35">
      <c r="A4135" s="32"/>
      <c r="B4135" s="32"/>
    </row>
    <row r="4136" spans="1:2" x14ac:dyDescent="0.35">
      <c r="A4136" s="32"/>
      <c r="B4136" s="32"/>
    </row>
    <row r="4137" spans="1:2" x14ac:dyDescent="0.35">
      <c r="A4137" s="32"/>
      <c r="B4137" s="32"/>
    </row>
    <row r="4138" spans="1:2" x14ac:dyDescent="0.35">
      <c r="A4138" s="32"/>
      <c r="B4138" s="32"/>
    </row>
    <row r="4139" spans="1:2" x14ac:dyDescent="0.35">
      <c r="A4139" s="32"/>
      <c r="B4139" s="32"/>
    </row>
    <row r="4140" spans="1:2" x14ac:dyDescent="0.35">
      <c r="A4140" s="32"/>
      <c r="B4140" s="32"/>
    </row>
    <row r="4141" spans="1:2" x14ac:dyDescent="0.35">
      <c r="A4141" s="32"/>
      <c r="B4141" s="32"/>
    </row>
    <row r="4142" spans="1:2" x14ac:dyDescent="0.35">
      <c r="A4142" s="32"/>
      <c r="B4142" s="32"/>
    </row>
    <row r="4143" spans="1:2" x14ac:dyDescent="0.35">
      <c r="A4143" s="32"/>
      <c r="B4143" s="32"/>
    </row>
    <row r="4144" spans="1:2" x14ac:dyDescent="0.35">
      <c r="A4144" s="32"/>
      <c r="B4144" s="32"/>
    </row>
    <row r="4145" spans="1:2" x14ac:dyDescent="0.35">
      <c r="A4145" s="32"/>
      <c r="B4145" s="32"/>
    </row>
    <row r="4146" spans="1:2" x14ac:dyDescent="0.35">
      <c r="A4146" s="32"/>
      <c r="B4146" s="32"/>
    </row>
    <row r="4147" spans="1:2" x14ac:dyDescent="0.35">
      <c r="A4147" s="32"/>
      <c r="B4147" s="32"/>
    </row>
    <row r="4148" spans="1:2" x14ac:dyDescent="0.35">
      <c r="A4148" s="32"/>
      <c r="B4148" s="32"/>
    </row>
    <row r="4149" spans="1:2" x14ac:dyDescent="0.35">
      <c r="A4149" s="32"/>
      <c r="B4149" s="32"/>
    </row>
    <row r="4150" spans="1:2" x14ac:dyDescent="0.35">
      <c r="A4150" s="32"/>
      <c r="B4150" s="32"/>
    </row>
    <row r="4151" spans="1:2" x14ac:dyDescent="0.35">
      <c r="A4151" s="32"/>
      <c r="B4151" s="32"/>
    </row>
    <row r="4152" spans="1:2" x14ac:dyDescent="0.35">
      <c r="A4152" s="32"/>
      <c r="B4152" s="32"/>
    </row>
    <row r="4153" spans="1:2" x14ac:dyDescent="0.35">
      <c r="A4153" s="32"/>
      <c r="B4153" s="32"/>
    </row>
    <row r="4154" spans="1:2" x14ac:dyDescent="0.35">
      <c r="A4154" s="32"/>
      <c r="B4154" s="32"/>
    </row>
    <row r="4155" spans="1:2" x14ac:dyDescent="0.35">
      <c r="A4155" s="32"/>
      <c r="B4155" s="32"/>
    </row>
    <row r="4156" spans="1:2" x14ac:dyDescent="0.35">
      <c r="A4156" s="32"/>
      <c r="B4156" s="32"/>
    </row>
    <row r="4157" spans="1:2" x14ac:dyDescent="0.35">
      <c r="A4157" s="32"/>
      <c r="B4157" s="32"/>
    </row>
    <row r="4158" spans="1:2" x14ac:dyDescent="0.35">
      <c r="A4158" s="32"/>
      <c r="B4158" s="32"/>
    </row>
    <row r="4159" spans="1:2" x14ac:dyDescent="0.35">
      <c r="A4159" s="32"/>
      <c r="B4159" s="32"/>
    </row>
    <row r="4160" spans="1:2" x14ac:dyDescent="0.35">
      <c r="A4160" s="32"/>
      <c r="B4160" s="32"/>
    </row>
    <row r="4161" spans="1:2" x14ac:dyDescent="0.35">
      <c r="A4161" s="32"/>
      <c r="B4161" s="32"/>
    </row>
    <row r="4162" spans="1:2" x14ac:dyDescent="0.35">
      <c r="A4162" s="32"/>
      <c r="B4162" s="32"/>
    </row>
    <row r="4163" spans="1:2" x14ac:dyDescent="0.35">
      <c r="A4163" s="32"/>
      <c r="B4163" s="32"/>
    </row>
    <row r="4164" spans="1:2" x14ac:dyDescent="0.35">
      <c r="A4164" s="32"/>
      <c r="B4164" s="32"/>
    </row>
    <row r="4165" spans="1:2" x14ac:dyDescent="0.35">
      <c r="A4165" s="32"/>
      <c r="B4165" s="32"/>
    </row>
    <row r="4166" spans="1:2" x14ac:dyDescent="0.35">
      <c r="A4166" s="32"/>
      <c r="B4166" s="32"/>
    </row>
    <row r="4167" spans="1:2" x14ac:dyDescent="0.35">
      <c r="A4167" s="32"/>
      <c r="B4167" s="32"/>
    </row>
    <row r="4168" spans="1:2" x14ac:dyDescent="0.35">
      <c r="A4168" s="32"/>
      <c r="B4168" s="32"/>
    </row>
    <row r="4169" spans="1:2" x14ac:dyDescent="0.35">
      <c r="A4169" s="32"/>
      <c r="B4169" s="32"/>
    </row>
    <row r="4170" spans="1:2" x14ac:dyDescent="0.35">
      <c r="A4170" s="32"/>
      <c r="B4170" s="32"/>
    </row>
    <row r="4171" spans="1:2" x14ac:dyDescent="0.35">
      <c r="A4171" s="32"/>
      <c r="B4171" s="32"/>
    </row>
    <row r="4172" spans="1:2" x14ac:dyDescent="0.35">
      <c r="A4172" s="32"/>
      <c r="B4172" s="32"/>
    </row>
    <row r="4173" spans="1:2" x14ac:dyDescent="0.35">
      <c r="A4173" s="32"/>
      <c r="B4173" s="32"/>
    </row>
    <row r="4174" spans="1:2" x14ac:dyDescent="0.35">
      <c r="A4174" s="32"/>
      <c r="B4174" s="32"/>
    </row>
    <row r="4175" spans="1:2" x14ac:dyDescent="0.35">
      <c r="A4175" s="32"/>
      <c r="B4175" s="32"/>
    </row>
    <row r="4176" spans="1:2" x14ac:dyDescent="0.35">
      <c r="A4176" s="32"/>
      <c r="B4176" s="32"/>
    </row>
    <row r="4177" spans="1:2" x14ac:dyDescent="0.35">
      <c r="A4177" s="32"/>
      <c r="B4177" s="32"/>
    </row>
    <row r="4178" spans="1:2" x14ac:dyDescent="0.35">
      <c r="A4178" s="32"/>
      <c r="B4178" s="32"/>
    </row>
    <row r="4179" spans="1:2" x14ac:dyDescent="0.35">
      <c r="A4179" s="32"/>
      <c r="B4179" s="32"/>
    </row>
    <row r="4180" spans="1:2" x14ac:dyDescent="0.35">
      <c r="A4180" s="32"/>
      <c r="B4180" s="32"/>
    </row>
    <row r="4181" spans="1:2" x14ac:dyDescent="0.35">
      <c r="A4181" s="32"/>
      <c r="B4181" s="32"/>
    </row>
    <row r="4182" spans="1:2" x14ac:dyDescent="0.35">
      <c r="A4182" s="32"/>
      <c r="B4182" s="32"/>
    </row>
    <row r="4183" spans="1:2" x14ac:dyDescent="0.35">
      <c r="A4183" s="32"/>
      <c r="B4183" s="32"/>
    </row>
    <row r="4184" spans="1:2" x14ac:dyDescent="0.35">
      <c r="A4184" s="32"/>
      <c r="B4184" s="32"/>
    </row>
    <row r="4185" spans="1:2" x14ac:dyDescent="0.35">
      <c r="A4185" s="32"/>
      <c r="B4185" s="32"/>
    </row>
    <row r="4186" spans="1:2" x14ac:dyDescent="0.35">
      <c r="A4186" s="32"/>
      <c r="B4186" s="32"/>
    </row>
    <row r="4187" spans="1:2" x14ac:dyDescent="0.35">
      <c r="A4187" s="32"/>
      <c r="B4187" s="32"/>
    </row>
    <row r="4188" spans="1:2" x14ac:dyDescent="0.35">
      <c r="A4188" s="32"/>
      <c r="B4188" s="32"/>
    </row>
    <row r="4189" spans="1:2" x14ac:dyDescent="0.35">
      <c r="A4189" s="32"/>
      <c r="B4189" s="32"/>
    </row>
    <row r="4190" spans="1:2" x14ac:dyDescent="0.35">
      <c r="A4190" s="32"/>
      <c r="B4190" s="32"/>
    </row>
    <row r="4191" spans="1:2" x14ac:dyDescent="0.35">
      <c r="A4191" s="32"/>
      <c r="B4191" s="32"/>
    </row>
    <row r="4192" spans="1:2" x14ac:dyDescent="0.35">
      <c r="A4192" s="32"/>
      <c r="B4192" s="32"/>
    </row>
    <row r="4193" spans="1:2" x14ac:dyDescent="0.35">
      <c r="A4193" s="32"/>
      <c r="B4193" s="32"/>
    </row>
    <row r="4194" spans="1:2" x14ac:dyDescent="0.35">
      <c r="A4194" s="32"/>
      <c r="B4194" s="32"/>
    </row>
    <row r="4195" spans="1:2" x14ac:dyDescent="0.35">
      <c r="A4195" s="32"/>
      <c r="B4195" s="32"/>
    </row>
    <row r="4196" spans="1:2" x14ac:dyDescent="0.35">
      <c r="A4196" s="32"/>
      <c r="B4196" s="32"/>
    </row>
    <row r="4197" spans="1:2" x14ac:dyDescent="0.35">
      <c r="A4197" s="32"/>
      <c r="B4197" s="32"/>
    </row>
    <row r="4198" spans="1:2" x14ac:dyDescent="0.35">
      <c r="A4198" s="32"/>
      <c r="B4198" s="32"/>
    </row>
    <row r="4199" spans="1:2" x14ac:dyDescent="0.35">
      <c r="A4199" s="32"/>
      <c r="B4199" s="32"/>
    </row>
    <row r="4200" spans="1:2" x14ac:dyDescent="0.35">
      <c r="A4200" s="32"/>
      <c r="B4200" s="32"/>
    </row>
    <row r="4201" spans="1:2" x14ac:dyDescent="0.35">
      <c r="A4201" s="32"/>
      <c r="B4201" s="32"/>
    </row>
    <row r="4202" spans="1:2" x14ac:dyDescent="0.35">
      <c r="A4202" s="32"/>
      <c r="B4202" s="32"/>
    </row>
    <row r="4203" spans="1:2" x14ac:dyDescent="0.35">
      <c r="A4203" s="32"/>
      <c r="B4203" s="32"/>
    </row>
    <row r="4204" spans="1:2" x14ac:dyDescent="0.35">
      <c r="A4204" s="32"/>
      <c r="B4204" s="32"/>
    </row>
    <row r="4205" spans="1:2" x14ac:dyDescent="0.35">
      <c r="A4205" s="32"/>
      <c r="B4205" s="32"/>
    </row>
    <row r="4206" spans="1:2" x14ac:dyDescent="0.35">
      <c r="A4206" s="32"/>
      <c r="B4206" s="32"/>
    </row>
    <row r="4207" spans="1:2" x14ac:dyDescent="0.35">
      <c r="A4207" s="32"/>
      <c r="B4207" s="32"/>
    </row>
    <row r="4208" spans="1:2" x14ac:dyDescent="0.35">
      <c r="A4208" s="32"/>
      <c r="B4208" s="32"/>
    </row>
    <row r="4209" spans="1:2" x14ac:dyDescent="0.35">
      <c r="A4209" s="32"/>
      <c r="B4209" s="32"/>
    </row>
    <row r="4210" spans="1:2" x14ac:dyDescent="0.35">
      <c r="A4210" s="32"/>
      <c r="B4210" s="32"/>
    </row>
    <row r="4211" spans="1:2" x14ac:dyDescent="0.35">
      <c r="A4211" s="32"/>
      <c r="B4211" s="32"/>
    </row>
    <row r="4212" spans="1:2" x14ac:dyDescent="0.35">
      <c r="A4212" s="32"/>
      <c r="B4212" s="32"/>
    </row>
    <row r="4213" spans="1:2" x14ac:dyDescent="0.35">
      <c r="A4213" s="32"/>
      <c r="B4213" s="32"/>
    </row>
    <row r="4214" spans="1:2" x14ac:dyDescent="0.35">
      <c r="A4214" s="32"/>
      <c r="B4214" s="32"/>
    </row>
    <row r="4215" spans="1:2" x14ac:dyDescent="0.35">
      <c r="A4215" s="32"/>
      <c r="B4215" s="32"/>
    </row>
    <row r="4216" spans="1:2" x14ac:dyDescent="0.35">
      <c r="A4216" s="32"/>
      <c r="B4216" s="32"/>
    </row>
    <row r="4217" spans="1:2" x14ac:dyDescent="0.35">
      <c r="A4217" s="32"/>
      <c r="B4217" s="32"/>
    </row>
    <row r="4218" spans="1:2" x14ac:dyDescent="0.35">
      <c r="A4218" s="32"/>
      <c r="B4218" s="32"/>
    </row>
    <row r="4219" spans="1:2" x14ac:dyDescent="0.35">
      <c r="A4219" s="32"/>
      <c r="B4219" s="32"/>
    </row>
    <row r="4220" spans="1:2" x14ac:dyDescent="0.35">
      <c r="A4220" s="32"/>
      <c r="B4220" s="32"/>
    </row>
    <row r="4221" spans="1:2" x14ac:dyDescent="0.35">
      <c r="A4221" s="32"/>
      <c r="B4221" s="32"/>
    </row>
    <row r="4222" spans="1:2" x14ac:dyDescent="0.35">
      <c r="A4222" s="32"/>
      <c r="B4222" s="32"/>
    </row>
    <row r="4223" spans="1:2" x14ac:dyDescent="0.35">
      <c r="A4223" s="32"/>
      <c r="B4223" s="32"/>
    </row>
    <row r="4224" spans="1:2" x14ac:dyDescent="0.35">
      <c r="A4224" s="32"/>
      <c r="B4224" s="32"/>
    </row>
    <row r="4225" spans="1:2" x14ac:dyDescent="0.35">
      <c r="A4225" s="32"/>
      <c r="B4225" s="32"/>
    </row>
    <row r="4226" spans="1:2" x14ac:dyDescent="0.35">
      <c r="A4226" s="32"/>
      <c r="B4226" s="32"/>
    </row>
    <row r="4227" spans="1:2" x14ac:dyDescent="0.35">
      <c r="A4227" s="32"/>
      <c r="B4227" s="32"/>
    </row>
    <row r="4228" spans="1:2" x14ac:dyDescent="0.35">
      <c r="A4228" s="32"/>
      <c r="B4228" s="32"/>
    </row>
    <row r="4229" spans="1:2" x14ac:dyDescent="0.35">
      <c r="A4229" s="32"/>
      <c r="B4229" s="32"/>
    </row>
    <row r="4230" spans="1:2" x14ac:dyDescent="0.35">
      <c r="A4230" s="32"/>
      <c r="B4230" s="32"/>
    </row>
    <row r="4231" spans="1:2" x14ac:dyDescent="0.35">
      <c r="A4231" s="32"/>
      <c r="B4231" s="32"/>
    </row>
    <row r="4232" spans="1:2" x14ac:dyDescent="0.35">
      <c r="A4232" s="32"/>
      <c r="B4232" s="32"/>
    </row>
    <row r="4233" spans="1:2" x14ac:dyDescent="0.35">
      <c r="A4233" s="32"/>
      <c r="B4233" s="32"/>
    </row>
    <row r="4234" spans="1:2" x14ac:dyDescent="0.35">
      <c r="A4234" s="32"/>
      <c r="B4234" s="32"/>
    </row>
    <row r="4235" spans="1:2" x14ac:dyDescent="0.35">
      <c r="A4235" s="32"/>
      <c r="B4235" s="32"/>
    </row>
    <row r="4236" spans="1:2" x14ac:dyDescent="0.35">
      <c r="A4236" s="32"/>
      <c r="B4236" s="32"/>
    </row>
    <row r="4237" spans="1:2" x14ac:dyDescent="0.35">
      <c r="A4237" s="32"/>
      <c r="B4237" s="32"/>
    </row>
    <row r="4238" spans="1:2" x14ac:dyDescent="0.35">
      <c r="A4238" s="32"/>
      <c r="B4238" s="32"/>
    </row>
    <row r="4239" spans="1:2" x14ac:dyDescent="0.35">
      <c r="A4239" s="32"/>
      <c r="B4239" s="32"/>
    </row>
    <row r="4240" spans="1:2" x14ac:dyDescent="0.35">
      <c r="A4240" s="32"/>
      <c r="B4240" s="32"/>
    </row>
    <row r="4241" spans="1:2" x14ac:dyDescent="0.35">
      <c r="A4241" s="32"/>
      <c r="B4241" s="32"/>
    </row>
    <row r="4242" spans="1:2" x14ac:dyDescent="0.35">
      <c r="A4242" s="32"/>
      <c r="B4242" s="32"/>
    </row>
    <row r="4243" spans="1:2" x14ac:dyDescent="0.35">
      <c r="A4243" s="32"/>
      <c r="B4243" s="32"/>
    </row>
    <row r="4244" spans="1:2" x14ac:dyDescent="0.35">
      <c r="A4244" s="32"/>
      <c r="B4244" s="32"/>
    </row>
    <row r="4245" spans="1:2" x14ac:dyDescent="0.35">
      <c r="A4245" s="32"/>
      <c r="B4245" s="32"/>
    </row>
    <row r="4246" spans="1:2" x14ac:dyDescent="0.35">
      <c r="A4246" s="32"/>
      <c r="B4246" s="32"/>
    </row>
    <row r="4247" spans="1:2" x14ac:dyDescent="0.35">
      <c r="A4247" s="32"/>
      <c r="B4247" s="32"/>
    </row>
    <row r="4248" spans="1:2" x14ac:dyDescent="0.35">
      <c r="A4248" s="32"/>
      <c r="B4248" s="32"/>
    </row>
    <row r="4249" spans="1:2" x14ac:dyDescent="0.35">
      <c r="A4249" s="32"/>
      <c r="B4249" s="32"/>
    </row>
    <row r="4250" spans="1:2" x14ac:dyDescent="0.35">
      <c r="A4250" s="32"/>
      <c r="B4250" s="32"/>
    </row>
    <row r="4251" spans="1:2" x14ac:dyDescent="0.35">
      <c r="A4251" s="32"/>
      <c r="B4251" s="32"/>
    </row>
    <row r="4252" spans="1:2" x14ac:dyDescent="0.35">
      <c r="A4252" s="32"/>
      <c r="B4252" s="32"/>
    </row>
    <row r="4253" spans="1:2" x14ac:dyDescent="0.35">
      <c r="A4253" s="32"/>
      <c r="B4253" s="32"/>
    </row>
    <row r="4254" spans="1:2" x14ac:dyDescent="0.35">
      <c r="A4254" s="32"/>
      <c r="B4254" s="32"/>
    </row>
    <row r="4255" spans="1:2" x14ac:dyDescent="0.35">
      <c r="A4255" s="32"/>
      <c r="B4255" s="32"/>
    </row>
    <row r="4256" spans="1:2" x14ac:dyDescent="0.35">
      <c r="A4256" s="32"/>
      <c r="B4256" s="32"/>
    </row>
    <row r="4257" spans="1:2" x14ac:dyDescent="0.35">
      <c r="A4257" s="32"/>
      <c r="B4257" s="32"/>
    </row>
    <row r="4258" spans="1:2" x14ac:dyDescent="0.35">
      <c r="A4258" s="32"/>
      <c r="B4258" s="32"/>
    </row>
    <row r="4259" spans="1:2" x14ac:dyDescent="0.35">
      <c r="A4259" s="32"/>
      <c r="B4259" s="32"/>
    </row>
    <row r="4260" spans="1:2" x14ac:dyDescent="0.35">
      <c r="A4260" s="32"/>
      <c r="B4260" s="32"/>
    </row>
    <row r="4261" spans="1:2" x14ac:dyDescent="0.35">
      <c r="A4261" s="32"/>
      <c r="B4261" s="32"/>
    </row>
    <row r="4262" spans="1:2" x14ac:dyDescent="0.35">
      <c r="A4262" s="32"/>
      <c r="B4262" s="32"/>
    </row>
    <row r="4263" spans="1:2" x14ac:dyDescent="0.35">
      <c r="A4263" s="32"/>
      <c r="B4263" s="32"/>
    </row>
    <row r="4264" spans="1:2" x14ac:dyDescent="0.35">
      <c r="A4264" s="32"/>
      <c r="B4264" s="32"/>
    </row>
    <row r="4265" spans="1:2" x14ac:dyDescent="0.35">
      <c r="A4265" s="32"/>
      <c r="B4265" s="32"/>
    </row>
    <row r="4266" spans="1:2" x14ac:dyDescent="0.35">
      <c r="A4266" s="32"/>
      <c r="B4266" s="32"/>
    </row>
    <row r="4267" spans="1:2" x14ac:dyDescent="0.35">
      <c r="A4267" s="32"/>
      <c r="B4267" s="32"/>
    </row>
    <row r="4268" spans="1:2" x14ac:dyDescent="0.35">
      <c r="A4268" s="32"/>
      <c r="B4268" s="32"/>
    </row>
    <row r="4269" spans="1:2" x14ac:dyDescent="0.35">
      <c r="A4269" s="32"/>
      <c r="B4269" s="32"/>
    </row>
    <row r="4270" spans="1:2" x14ac:dyDescent="0.35">
      <c r="A4270" s="32"/>
      <c r="B4270" s="32"/>
    </row>
    <row r="4271" spans="1:2" x14ac:dyDescent="0.35">
      <c r="A4271" s="32"/>
      <c r="B4271" s="32"/>
    </row>
    <row r="4272" spans="1:2" x14ac:dyDescent="0.35">
      <c r="A4272" s="32"/>
      <c r="B4272" s="32"/>
    </row>
    <row r="4273" spans="1:2" x14ac:dyDescent="0.35">
      <c r="A4273" s="32"/>
      <c r="B4273" s="32"/>
    </row>
    <row r="4274" spans="1:2" x14ac:dyDescent="0.35">
      <c r="A4274" s="32"/>
      <c r="B4274" s="32"/>
    </row>
    <row r="4275" spans="1:2" x14ac:dyDescent="0.35">
      <c r="A4275" s="32"/>
      <c r="B4275" s="32"/>
    </row>
    <row r="4276" spans="1:2" x14ac:dyDescent="0.35">
      <c r="A4276" s="32"/>
      <c r="B4276" s="32"/>
    </row>
    <row r="4277" spans="1:2" x14ac:dyDescent="0.35">
      <c r="A4277" s="32"/>
      <c r="B4277" s="32"/>
    </row>
    <row r="4278" spans="1:2" x14ac:dyDescent="0.35">
      <c r="A4278" s="32"/>
      <c r="B4278" s="32"/>
    </row>
    <row r="4279" spans="1:2" x14ac:dyDescent="0.35">
      <c r="A4279" s="32"/>
      <c r="B4279" s="32"/>
    </row>
    <row r="4280" spans="1:2" x14ac:dyDescent="0.35">
      <c r="A4280" s="32"/>
      <c r="B4280" s="32"/>
    </row>
    <row r="4281" spans="1:2" x14ac:dyDescent="0.35">
      <c r="A4281" s="32"/>
      <c r="B4281" s="32"/>
    </row>
    <row r="4282" spans="1:2" x14ac:dyDescent="0.35">
      <c r="A4282" s="32"/>
      <c r="B4282" s="32"/>
    </row>
    <row r="4283" spans="1:2" x14ac:dyDescent="0.35">
      <c r="A4283" s="32"/>
      <c r="B4283" s="32"/>
    </row>
    <row r="4284" spans="1:2" x14ac:dyDescent="0.35">
      <c r="A4284" s="32"/>
      <c r="B4284" s="32"/>
    </row>
    <row r="4285" spans="1:2" x14ac:dyDescent="0.35">
      <c r="A4285" s="32"/>
      <c r="B4285" s="32"/>
    </row>
    <row r="4286" spans="1:2" x14ac:dyDescent="0.35">
      <c r="A4286" s="32"/>
      <c r="B4286" s="32"/>
    </row>
    <row r="4287" spans="1:2" x14ac:dyDescent="0.35">
      <c r="A4287" s="32"/>
      <c r="B4287" s="32"/>
    </row>
    <row r="4288" spans="1:2" x14ac:dyDescent="0.35">
      <c r="A4288" s="32"/>
      <c r="B4288" s="32"/>
    </row>
    <row r="4289" spans="1:2" x14ac:dyDescent="0.35">
      <c r="A4289" s="32"/>
      <c r="B4289" s="32"/>
    </row>
    <row r="4290" spans="1:2" x14ac:dyDescent="0.35">
      <c r="A4290" s="32"/>
      <c r="B4290" s="32"/>
    </row>
    <row r="4291" spans="1:2" x14ac:dyDescent="0.35">
      <c r="A4291" s="32"/>
      <c r="B4291" s="32"/>
    </row>
    <row r="4292" spans="1:2" x14ac:dyDescent="0.35">
      <c r="A4292" s="32"/>
      <c r="B4292" s="32"/>
    </row>
    <row r="4293" spans="1:2" x14ac:dyDescent="0.35">
      <c r="A4293" s="32"/>
      <c r="B4293" s="32"/>
    </row>
    <row r="4294" spans="1:2" x14ac:dyDescent="0.35">
      <c r="A4294" s="32"/>
      <c r="B4294" s="32"/>
    </row>
    <row r="4295" spans="1:2" x14ac:dyDescent="0.35">
      <c r="A4295" s="32"/>
      <c r="B4295" s="32"/>
    </row>
    <row r="4296" spans="1:2" x14ac:dyDescent="0.35">
      <c r="A4296" s="32"/>
      <c r="B4296" s="32"/>
    </row>
    <row r="4297" spans="1:2" x14ac:dyDescent="0.35">
      <c r="A4297" s="32"/>
      <c r="B4297" s="32"/>
    </row>
    <row r="4298" spans="1:2" x14ac:dyDescent="0.35">
      <c r="A4298" s="32"/>
      <c r="B4298" s="32"/>
    </row>
    <row r="4299" spans="1:2" x14ac:dyDescent="0.35">
      <c r="A4299" s="32"/>
      <c r="B4299" s="32"/>
    </row>
    <row r="4300" spans="1:2" x14ac:dyDescent="0.35">
      <c r="A4300" s="32"/>
      <c r="B4300" s="32"/>
    </row>
    <row r="4301" spans="1:2" x14ac:dyDescent="0.35">
      <c r="A4301" s="32"/>
      <c r="B4301" s="32"/>
    </row>
    <row r="4302" spans="1:2" x14ac:dyDescent="0.35">
      <c r="A4302" s="32"/>
      <c r="B4302" s="32"/>
    </row>
    <row r="4303" spans="1:2" x14ac:dyDescent="0.35">
      <c r="A4303" s="32"/>
      <c r="B4303" s="32"/>
    </row>
    <row r="4304" spans="1:2" x14ac:dyDescent="0.35">
      <c r="A4304" s="32"/>
      <c r="B4304" s="32"/>
    </row>
    <row r="4305" spans="1:2" x14ac:dyDescent="0.35">
      <c r="A4305" s="32"/>
      <c r="B4305" s="32"/>
    </row>
    <row r="4306" spans="1:2" x14ac:dyDescent="0.35">
      <c r="A4306" s="32"/>
      <c r="B4306" s="32"/>
    </row>
    <row r="4307" spans="1:2" x14ac:dyDescent="0.35">
      <c r="A4307" s="32"/>
      <c r="B4307" s="32"/>
    </row>
    <row r="4308" spans="1:2" x14ac:dyDescent="0.35">
      <c r="A4308" s="32"/>
      <c r="B4308" s="32"/>
    </row>
    <row r="4309" spans="1:2" x14ac:dyDescent="0.35">
      <c r="A4309" s="32"/>
      <c r="B4309" s="32"/>
    </row>
    <row r="4310" spans="1:2" x14ac:dyDescent="0.35">
      <c r="A4310" s="32"/>
      <c r="B4310" s="32"/>
    </row>
    <row r="4311" spans="1:2" x14ac:dyDescent="0.35">
      <c r="A4311" s="32"/>
      <c r="B4311" s="32"/>
    </row>
    <row r="4312" spans="1:2" x14ac:dyDescent="0.35">
      <c r="A4312" s="32"/>
      <c r="B4312" s="32"/>
    </row>
    <row r="4313" spans="1:2" x14ac:dyDescent="0.35">
      <c r="A4313" s="32"/>
      <c r="B4313" s="32"/>
    </row>
    <row r="4314" spans="1:2" x14ac:dyDescent="0.35">
      <c r="A4314" s="32"/>
      <c r="B4314" s="32"/>
    </row>
    <row r="4315" spans="1:2" x14ac:dyDescent="0.35">
      <c r="A4315" s="32"/>
      <c r="B4315" s="32"/>
    </row>
    <row r="4316" spans="1:2" x14ac:dyDescent="0.35">
      <c r="A4316" s="32"/>
      <c r="B4316" s="32"/>
    </row>
    <row r="4317" spans="1:2" x14ac:dyDescent="0.35">
      <c r="A4317" s="32"/>
      <c r="B4317" s="32"/>
    </row>
    <row r="4318" spans="1:2" x14ac:dyDescent="0.35">
      <c r="A4318" s="32"/>
      <c r="B4318" s="32"/>
    </row>
    <row r="4319" spans="1:2" x14ac:dyDescent="0.35">
      <c r="A4319" s="32"/>
      <c r="B4319" s="32"/>
    </row>
    <row r="4320" spans="1:2" x14ac:dyDescent="0.35">
      <c r="A4320" s="32"/>
      <c r="B4320" s="32"/>
    </row>
    <row r="4321" spans="1:2" x14ac:dyDescent="0.35">
      <c r="A4321" s="32"/>
      <c r="B4321" s="32"/>
    </row>
    <row r="4322" spans="1:2" x14ac:dyDescent="0.35">
      <c r="A4322" s="32"/>
      <c r="B4322" s="32"/>
    </row>
    <row r="4323" spans="1:2" x14ac:dyDescent="0.35">
      <c r="A4323" s="32"/>
      <c r="B4323" s="32"/>
    </row>
    <row r="4324" spans="1:2" x14ac:dyDescent="0.35">
      <c r="A4324" s="32"/>
      <c r="B4324" s="32"/>
    </row>
    <row r="4325" spans="1:2" x14ac:dyDescent="0.35">
      <c r="A4325" s="32"/>
      <c r="B4325" s="32"/>
    </row>
    <row r="4326" spans="1:2" x14ac:dyDescent="0.35">
      <c r="A4326" s="32"/>
      <c r="B4326" s="32"/>
    </row>
    <row r="4327" spans="1:2" x14ac:dyDescent="0.35">
      <c r="A4327" s="32"/>
      <c r="B4327" s="32"/>
    </row>
    <row r="4328" spans="1:2" x14ac:dyDescent="0.35">
      <c r="A4328" s="32"/>
      <c r="B4328" s="32"/>
    </row>
    <row r="4329" spans="1:2" x14ac:dyDescent="0.35">
      <c r="A4329" s="32"/>
      <c r="B4329" s="32"/>
    </row>
    <row r="4330" spans="1:2" x14ac:dyDescent="0.35">
      <c r="A4330" s="32"/>
      <c r="B4330" s="32"/>
    </row>
    <row r="4331" spans="1:2" x14ac:dyDescent="0.35">
      <c r="A4331" s="32"/>
      <c r="B4331" s="32"/>
    </row>
    <row r="4332" spans="1:2" x14ac:dyDescent="0.35">
      <c r="A4332" s="32"/>
      <c r="B4332" s="32"/>
    </row>
    <row r="4333" spans="1:2" x14ac:dyDescent="0.35">
      <c r="A4333" s="32"/>
      <c r="B4333" s="32"/>
    </row>
    <row r="4334" spans="1:2" x14ac:dyDescent="0.35">
      <c r="A4334" s="32"/>
      <c r="B4334" s="32"/>
    </row>
    <row r="4335" spans="1:2" x14ac:dyDescent="0.35">
      <c r="A4335" s="32"/>
      <c r="B4335" s="32"/>
    </row>
    <row r="4336" spans="1:2" x14ac:dyDescent="0.35">
      <c r="A4336" s="32"/>
      <c r="B4336" s="32"/>
    </row>
    <row r="4337" spans="1:2" x14ac:dyDescent="0.35">
      <c r="A4337" s="32"/>
      <c r="B4337" s="32"/>
    </row>
    <row r="4338" spans="1:2" x14ac:dyDescent="0.35">
      <c r="A4338" s="32"/>
      <c r="B4338" s="32"/>
    </row>
    <row r="4339" spans="1:2" x14ac:dyDescent="0.35">
      <c r="A4339" s="32"/>
      <c r="B4339" s="32"/>
    </row>
    <row r="4340" spans="1:2" x14ac:dyDescent="0.35">
      <c r="A4340" s="32"/>
      <c r="B4340" s="32"/>
    </row>
    <row r="4341" spans="1:2" x14ac:dyDescent="0.35">
      <c r="A4341" s="32"/>
      <c r="B4341" s="32"/>
    </row>
    <row r="4342" spans="1:2" x14ac:dyDescent="0.35">
      <c r="A4342" s="32"/>
      <c r="B4342" s="32"/>
    </row>
    <row r="4343" spans="1:2" x14ac:dyDescent="0.35">
      <c r="A4343" s="32"/>
      <c r="B4343" s="32"/>
    </row>
    <row r="4344" spans="1:2" x14ac:dyDescent="0.35">
      <c r="A4344" s="32"/>
      <c r="B4344" s="32"/>
    </row>
    <row r="4345" spans="1:2" x14ac:dyDescent="0.35">
      <c r="A4345" s="32"/>
      <c r="B4345" s="32"/>
    </row>
    <row r="4346" spans="1:2" x14ac:dyDescent="0.35">
      <c r="A4346" s="32"/>
      <c r="B4346" s="32"/>
    </row>
    <row r="4347" spans="1:2" x14ac:dyDescent="0.35">
      <c r="A4347" s="32"/>
      <c r="B4347" s="32"/>
    </row>
    <row r="4348" spans="1:2" x14ac:dyDescent="0.35">
      <c r="A4348" s="32"/>
      <c r="B4348" s="32"/>
    </row>
    <row r="4349" spans="1:2" x14ac:dyDescent="0.35">
      <c r="A4349" s="32"/>
      <c r="B4349" s="32"/>
    </row>
    <row r="4350" spans="1:2" x14ac:dyDescent="0.35">
      <c r="A4350" s="32"/>
      <c r="B4350" s="32"/>
    </row>
    <row r="4351" spans="1:2" x14ac:dyDescent="0.35">
      <c r="A4351" s="32"/>
      <c r="B4351" s="32"/>
    </row>
    <row r="4352" spans="1:2" x14ac:dyDescent="0.35">
      <c r="A4352" s="32"/>
      <c r="B4352" s="32"/>
    </row>
    <row r="4353" spans="1:2" x14ac:dyDescent="0.35">
      <c r="A4353" s="32"/>
      <c r="B4353" s="32"/>
    </row>
    <row r="4354" spans="1:2" x14ac:dyDescent="0.35">
      <c r="A4354" s="32"/>
      <c r="B4354" s="32"/>
    </row>
    <row r="4355" spans="1:2" x14ac:dyDescent="0.35">
      <c r="A4355" s="32"/>
      <c r="B4355" s="32"/>
    </row>
    <row r="4356" spans="1:2" x14ac:dyDescent="0.35">
      <c r="A4356" s="32"/>
      <c r="B4356" s="32"/>
    </row>
    <row r="4357" spans="1:2" x14ac:dyDescent="0.35">
      <c r="A4357" s="32"/>
      <c r="B4357" s="32"/>
    </row>
    <row r="4358" spans="1:2" x14ac:dyDescent="0.35">
      <c r="A4358" s="32"/>
      <c r="B4358" s="32"/>
    </row>
    <row r="4359" spans="1:2" x14ac:dyDescent="0.35">
      <c r="A4359" s="32"/>
      <c r="B4359" s="32"/>
    </row>
    <row r="4360" spans="1:2" x14ac:dyDescent="0.35">
      <c r="A4360" s="32"/>
      <c r="B4360" s="32"/>
    </row>
    <row r="4361" spans="1:2" x14ac:dyDescent="0.35">
      <c r="A4361" s="32"/>
      <c r="B4361" s="32"/>
    </row>
    <row r="4362" spans="1:2" x14ac:dyDescent="0.35">
      <c r="A4362" s="32"/>
      <c r="B4362" s="32"/>
    </row>
    <row r="4363" spans="1:2" x14ac:dyDescent="0.35">
      <c r="A4363" s="32"/>
      <c r="B4363" s="32"/>
    </row>
    <row r="4364" spans="1:2" x14ac:dyDescent="0.35">
      <c r="A4364" s="32"/>
      <c r="B4364" s="32"/>
    </row>
    <row r="4365" spans="1:2" x14ac:dyDescent="0.35">
      <c r="A4365" s="32"/>
      <c r="B4365" s="32"/>
    </row>
    <row r="4366" spans="1:2" x14ac:dyDescent="0.35">
      <c r="A4366" s="32"/>
      <c r="B4366" s="32"/>
    </row>
    <row r="4367" spans="1:2" x14ac:dyDescent="0.35">
      <c r="A4367" s="32"/>
      <c r="B4367" s="32"/>
    </row>
    <row r="4368" spans="1:2" x14ac:dyDescent="0.35">
      <c r="A4368" s="32"/>
      <c r="B4368" s="32"/>
    </row>
    <row r="4369" spans="1:2" x14ac:dyDescent="0.35">
      <c r="A4369" s="32"/>
      <c r="B4369" s="32"/>
    </row>
    <row r="4370" spans="1:2" x14ac:dyDescent="0.35">
      <c r="A4370" s="32"/>
      <c r="B4370" s="32"/>
    </row>
    <row r="4371" spans="1:2" x14ac:dyDescent="0.35">
      <c r="A4371" s="32"/>
      <c r="B4371" s="32"/>
    </row>
    <row r="4372" spans="1:2" x14ac:dyDescent="0.35">
      <c r="A4372" s="32"/>
      <c r="B4372" s="32"/>
    </row>
    <row r="4373" spans="1:2" x14ac:dyDescent="0.35">
      <c r="A4373" s="32"/>
      <c r="B4373" s="32"/>
    </row>
    <row r="4374" spans="1:2" x14ac:dyDescent="0.35">
      <c r="A4374" s="32"/>
      <c r="B4374" s="32"/>
    </row>
    <row r="4375" spans="1:2" x14ac:dyDescent="0.35">
      <c r="A4375" s="32"/>
      <c r="B4375" s="32"/>
    </row>
    <row r="4376" spans="1:2" x14ac:dyDescent="0.35">
      <c r="A4376" s="32"/>
      <c r="B4376" s="32"/>
    </row>
    <row r="4377" spans="1:2" x14ac:dyDescent="0.35">
      <c r="A4377" s="32"/>
      <c r="B4377" s="32"/>
    </row>
    <row r="4378" spans="1:2" x14ac:dyDescent="0.35">
      <c r="A4378" s="32"/>
      <c r="B4378" s="32"/>
    </row>
    <row r="4379" spans="1:2" x14ac:dyDescent="0.35">
      <c r="A4379" s="32"/>
      <c r="B4379" s="32"/>
    </row>
    <row r="4380" spans="1:2" x14ac:dyDescent="0.35">
      <c r="A4380" s="32"/>
      <c r="B4380" s="32"/>
    </row>
    <row r="4381" spans="1:2" x14ac:dyDescent="0.35">
      <c r="A4381" s="32"/>
      <c r="B4381" s="32"/>
    </row>
    <row r="4382" spans="1:2" x14ac:dyDescent="0.35">
      <c r="A4382" s="32"/>
      <c r="B4382" s="32"/>
    </row>
    <row r="4383" spans="1:2" x14ac:dyDescent="0.35">
      <c r="A4383" s="32"/>
      <c r="B4383" s="32"/>
    </row>
    <row r="4384" spans="1:2" x14ac:dyDescent="0.35">
      <c r="A4384" s="32"/>
      <c r="B4384" s="32"/>
    </row>
    <row r="4385" spans="1:2" x14ac:dyDescent="0.35">
      <c r="A4385" s="32"/>
      <c r="B4385" s="32"/>
    </row>
    <row r="4386" spans="1:2" x14ac:dyDescent="0.35">
      <c r="A4386" s="32"/>
      <c r="B4386" s="32"/>
    </row>
    <row r="4387" spans="1:2" x14ac:dyDescent="0.35">
      <c r="A4387" s="32"/>
      <c r="B4387" s="32"/>
    </row>
    <row r="4388" spans="1:2" x14ac:dyDescent="0.35">
      <c r="A4388" s="32"/>
      <c r="B4388" s="32"/>
    </row>
    <row r="4389" spans="1:2" x14ac:dyDescent="0.35">
      <c r="A4389" s="32"/>
      <c r="B4389" s="32"/>
    </row>
    <row r="4390" spans="1:2" x14ac:dyDescent="0.35">
      <c r="A4390" s="32"/>
      <c r="B4390" s="32"/>
    </row>
    <row r="4391" spans="1:2" x14ac:dyDescent="0.35">
      <c r="A4391" s="32"/>
      <c r="B4391" s="32"/>
    </row>
    <row r="4392" spans="1:2" x14ac:dyDescent="0.35">
      <c r="A4392" s="32"/>
      <c r="B4392" s="32"/>
    </row>
    <row r="4393" spans="1:2" x14ac:dyDescent="0.35">
      <c r="A4393" s="32"/>
      <c r="B4393" s="32"/>
    </row>
    <row r="4394" spans="1:2" x14ac:dyDescent="0.35">
      <c r="A4394" s="32"/>
      <c r="B4394" s="32"/>
    </row>
    <row r="4395" spans="1:2" x14ac:dyDescent="0.35">
      <c r="A4395" s="32"/>
      <c r="B4395" s="32"/>
    </row>
    <row r="4396" spans="1:2" x14ac:dyDescent="0.35">
      <c r="A4396" s="32"/>
      <c r="B4396" s="32"/>
    </row>
    <row r="4397" spans="1:2" x14ac:dyDescent="0.35">
      <c r="A4397" s="32"/>
      <c r="B4397" s="32"/>
    </row>
    <row r="4398" spans="1:2" x14ac:dyDescent="0.35">
      <c r="A4398" s="32"/>
      <c r="B4398" s="32"/>
    </row>
    <row r="4399" spans="1:2" x14ac:dyDescent="0.35">
      <c r="A4399" s="32"/>
      <c r="B4399" s="32"/>
    </row>
    <row r="4400" spans="1:2" x14ac:dyDescent="0.35">
      <c r="A4400" s="32"/>
      <c r="B4400" s="32"/>
    </row>
    <row r="4401" spans="1:2" x14ac:dyDescent="0.35">
      <c r="A4401" s="32"/>
      <c r="B4401" s="32"/>
    </row>
    <row r="4402" spans="1:2" x14ac:dyDescent="0.35">
      <c r="A4402" s="32"/>
      <c r="B4402" s="32"/>
    </row>
    <row r="4403" spans="1:2" x14ac:dyDescent="0.35">
      <c r="A4403" s="32"/>
      <c r="B4403" s="32"/>
    </row>
    <row r="4404" spans="1:2" x14ac:dyDescent="0.35">
      <c r="A4404" s="32"/>
      <c r="B4404" s="32"/>
    </row>
    <row r="4405" spans="1:2" x14ac:dyDescent="0.35">
      <c r="A4405" s="32"/>
      <c r="B4405" s="32"/>
    </row>
    <row r="4406" spans="1:2" x14ac:dyDescent="0.35">
      <c r="A4406" s="32"/>
      <c r="B4406" s="32"/>
    </row>
    <row r="4407" spans="1:2" x14ac:dyDescent="0.35">
      <c r="A4407" s="32"/>
      <c r="B4407" s="32"/>
    </row>
    <row r="4408" spans="1:2" x14ac:dyDescent="0.35">
      <c r="A4408" s="32"/>
      <c r="B4408" s="32"/>
    </row>
    <row r="4409" spans="1:2" x14ac:dyDescent="0.35">
      <c r="A4409" s="32"/>
      <c r="B4409" s="32"/>
    </row>
    <row r="4410" spans="1:2" x14ac:dyDescent="0.35">
      <c r="A4410" s="32"/>
      <c r="B4410" s="32"/>
    </row>
    <row r="4411" spans="1:2" x14ac:dyDescent="0.35">
      <c r="A4411" s="32"/>
      <c r="B4411" s="32"/>
    </row>
    <row r="4412" spans="1:2" x14ac:dyDescent="0.35">
      <c r="A4412" s="32"/>
      <c r="B4412" s="32"/>
    </row>
    <row r="4413" spans="1:2" x14ac:dyDescent="0.35">
      <c r="A4413" s="32"/>
      <c r="B4413" s="32"/>
    </row>
    <row r="4414" spans="1:2" x14ac:dyDescent="0.35">
      <c r="A4414" s="32"/>
      <c r="B4414" s="32"/>
    </row>
    <row r="4415" spans="1:2" x14ac:dyDescent="0.35">
      <c r="A4415" s="32"/>
      <c r="B4415" s="32"/>
    </row>
    <row r="4416" spans="1:2" x14ac:dyDescent="0.35">
      <c r="A4416" s="32"/>
      <c r="B4416" s="32"/>
    </row>
    <row r="4417" spans="1:2" x14ac:dyDescent="0.35">
      <c r="A4417" s="32"/>
      <c r="B4417" s="32"/>
    </row>
    <row r="4418" spans="1:2" x14ac:dyDescent="0.35">
      <c r="A4418" s="32"/>
      <c r="B4418" s="32"/>
    </row>
    <row r="4419" spans="1:2" x14ac:dyDescent="0.35">
      <c r="A4419" s="32"/>
      <c r="B4419" s="32"/>
    </row>
    <row r="4420" spans="1:2" x14ac:dyDescent="0.35">
      <c r="A4420" s="32"/>
      <c r="B4420" s="32"/>
    </row>
    <row r="4421" spans="1:2" x14ac:dyDescent="0.35">
      <c r="A4421" s="32"/>
      <c r="B4421" s="32"/>
    </row>
    <row r="4422" spans="1:2" x14ac:dyDescent="0.35">
      <c r="A4422" s="32"/>
      <c r="B4422" s="32"/>
    </row>
    <row r="4423" spans="1:2" x14ac:dyDescent="0.35">
      <c r="A4423" s="32"/>
      <c r="B4423" s="32"/>
    </row>
    <row r="4424" spans="1:2" x14ac:dyDescent="0.35">
      <c r="A4424" s="32"/>
      <c r="B4424" s="32"/>
    </row>
    <row r="4425" spans="1:2" x14ac:dyDescent="0.35">
      <c r="A4425" s="32"/>
      <c r="B4425" s="32"/>
    </row>
    <row r="4426" spans="1:2" x14ac:dyDescent="0.35">
      <c r="A4426" s="32"/>
      <c r="B4426" s="32"/>
    </row>
    <row r="4427" spans="1:2" x14ac:dyDescent="0.35">
      <c r="A4427" s="32"/>
      <c r="B4427" s="32"/>
    </row>
    <row r="4428" spans="1:2" x14ac:dyDescent="0.35">
      <c r="A4428" s="32"/>
      <c r="B4428" s="32"/>
    </row>
    <row r="4429" spans="1:2" x14ac:dyDescent="0.35">
      <c r="A4429" s="32"/>
      <c r="B4429" s="32"/>
    </row>
    <row r="4430" spans="1:2" x14ac:dyDescent="0.35">
      <c r="A4430" s="32"/>
      <c r="B4430" s="32"/>
    </row>
    <row r="4431" spans="1:2" x14ac:dyDescent="0.35">
      <c r="A4431" s="32"/>
      <c r="B4431" s="32"/>
    </row>
    <row r="4432" spans="1:2" x14ac:dyDescent="0.35">
      <c r="A4432" s="32"/>
      <c r="B4432" s="32"/>
    </row>
    <row r="4433" spans="1:2" x14ac:dyDescent="0.35">
      <c r="A4433" s="32"/>
      <c r="B4433" s="32"/>
    </row>
    <row r="4434" spans="1:2" x14ac:dyDescent="0.35">
      <c r="A4434" s="32"/>
      <c r="B4434" s="32"/>
    </row>
    <row r="4435" spans="1:2" x14ac:dyDescent="0.35">
      <c r="A4435" s="32"/>
      <c r="B4435" s="32"/>
    </row>
    <row r="4436" spans="1:2" x14ac:dyDescent="0.35">
      <c r="A4436" s="32"/>
      <c r="B4436" s="32"/>
    </row>
    <row r="4437" spans="1:2" x14ac:dyDescent="0.35">
      <c r="A4437" s="32"/>
      <c r="B4437" s="32"/>
    </row>
    <row r="4438" spans="1:2" x14ac:dyDescent="0.35">
      <c r="A4438" s="32"/>
      <c r="B4438" s="32"/>
    </row>
    <row r="4439" spans="1:2" x14ac:dyDescent="0.35">
      <c r="A4439" s="32"/>
      <c r="B4439" s="32"/>
    </row>
    <row r="4440" spans="1:2" x14ac:dyDescent="0.35">
      <c r="A4440" s="32"/>
      <c r="B4440" s="32"/>
    </row>
    <row r="4441" spans="1:2" x14ac:dyDescent="0.35">
      <c r="A4441" s="32"/>
      <c r="B4441" s="32"/>
    </row>
    <row r="4442" spans="1:2" x14ac:dyDescent="0.35">
      <c r="A4442" s="32"/>
      <c r="B4442" s="32"/>
    </row>
    <row r="4443" spans="1:2" x14ac:dyDescent="0.35">
      <c r="A4443" s="32"/>
      <c r="B4443" s="32"/>
    </row>
    <row r="4444" spans="1:2" x14ac:dyDescent="0.35">
      <c r="A4444" s="32"/>
      <c r="B4444" s="32"/>
    </row>
    <row r="4445" spans="1:2" x14ac:dyDescent="0.35">
      <c r="A4445" s="32"/>
      <c r="B4445" s="32"/>
    </row>
    <row r="4446" spans="1:2" x14ac:dyDescent="0.35">
      <c r="A4446" s="32"/>
      <c r="B4446" s="32"/>
    </row>
    <row r="4447" spans="1:2" x14ac:dyDescent="0.35">
      <c r="A4447" s="32"/>
      <c r="B4447" s="32"/>
    </row>
    <row r="4448" spans="1:2" x14ac:dyDescent="0.35">
      <c r="A4448" s="32"/>
      <c r="B4448" s="32"/>
    </row>
    <row r="4449" spans="1:2" x14ac:dyDescent="0.35">
      <c r="A4449" s="32"/>
      <c r="B4449" s="32"/>
    </row>
    <row r="4450" spans="1:2" x14ac:dyDescent="0.35">
      <c r="A4450" s="32"/>
      <c r="B4450" s="32"/>
    </row>
    <row r="4451" spans="1:2" x14ac:dyDescent="0.35">
      <c r="A4451" s="32"/>
      <c r="B4451" s="32"/>
    </row>
    <row r="4452" spans="1:2" x14ac:dyDescent="0.35">
      <c r="A4452" s="32"/>
      <c r="B4452" s="32"/>
    </row>
    <row r="4453" spans="1:2" x14ac:dyDescent="0.35">
      <c r="A4453" s="32"/>
      <c r="B4453" s="32"/>
    </row>
    <row r="4454" spans="1:2" x14ac:dyDescent="0.35">
      <c r="A4454" s="32"/>
      <c r="B4454" s="32"/>
    </row>
    <row r="4455" spans="1:2" x14ac:dyDescent="0.35">
      <c r="A4455" s="32"/>
      <c r="B4455" s="32"/>
    </row>
    <row r="4456" spans="1:2" x14ac:dyDescent="0.35">
      <c r="A4456" s="32"/>
      <c r="B4456" s="32"/>
    </row>
    <row r="4457" spans="1:2" x14ac:dyDescent="0.35">
      <c r="A4457" s="32"/>
      <c r="B4457" s="32"/>
    </row>
    <row r="4458" spans="1:2" x14ac:dyDescent="0.35">
      <c r="A4458" s="32"/>
      <c r="B4458" s="32"/>
    </row>
    <row r="4459" spans="1:2" x14ac:dyDescent="0.35">
      <c r="A4459" s="32"/>
      <c r="B4459" s="32"/>
    </row>
    <row r="4460" spans="1:2" x14ac:dyDescent="0.35">
      <c r="A4460" s="32"/>
      <c r="B4460" s="32"/>
    </row>
    <row r="4461" spans="1:2" x14ac:dyDescent="0.35">
      <c r="A4461" s="32"/>
      <c r="B4461" s="32"/>
    </row>
    <row r="4462" spans="1:2" x14ac:dyDescent="0.35">
      <c r="A4462" s="32"/>
      <c r="B4462" s="32"/>
    </row>
    <row r="4463" spans="1:2" x14ac:dyDescent="0.35">
      <c r="A4463" s="32"/>
      <c r="B4463" s="32"/>
    </row>
    <row r="4464" spans="1:2" x14ac:dyDescent="0.35">
      <c r="A4464" s="32"/>
      <c r="B4464" s="32"/>
    </row>
    <row r="4465" spans="1:2" x14ac:dyDescent="0.35">
      <c r="A4465" s="32"/>
      <c r="B4465" s="32"/>
    </row>
    <row r="4466" spans="1:2" x14ac:dyDescent="0.35">
      <c r="A4466" s="32"/>
      <c r="B4466" s="32"/>
    </row>
    <row r="4467" spans="1:2" x14ac:dyDescent="0.35">
      <c r="A4467" s="32"/>
      <c r="B4467" s="32"/>
    </row>
    <row r="4468" spans="1:2" x14ac:dyDescent="0.35">
      <c r="A4468" s="32"/>
      <c r="B4468" s="32"/>
    </row>
    <row r="4469" spans="1:2" x14ac:dyDescent="0.35">
      <c r="A4469" s="32"/>
      <c r="B4469" s="32"/>
    </row>
    <row r="4470" spans="1:2" x14ac:dyDescent="0.35">
      <c r="A4470" s="32"/>
      <c r="B4470" s="32"/>
    </row>
    <row r="4471" spans="1:2" x14ac:dyDescent="0.35">
      <c r="A4471" s="32"/>
      <c r="B4471" s="32"/>
    </row>
    <row r="4472" spans="1:2" x14ac:dyDescent="0.35">
      <c r="A4472" s="32"/>
      <c r="B4472" s="32"/>
    </row>
    <row r="4473" spans="1:2" x14ac:dyDescent="0.35">
      <c r="A4473" s="32"/>
      <c r="B4473" s="32"/>
    </row>
    <row r="4474" spans="1:2" x14ac:dyDescent="0.35">
      <c r="A4474" s="32"/>
      <c r="B4474" s="32"/>
    </row>
    <row r="4475" spans="1:2" x14ac:dyDescent="0.35">
      <c r="A4475" s="32"/>
      <c r="B4475" s="32"/>
    </row>
    <row r="4476" spans="1:2" x14ac:dyDescent="0.35">
      <c r="A4476" s="32"/>
      <c r="B4476" s="32"/>
    </row>
    <row r="4477" spans="1:2" x14ac:dyDescent="0.35">
      <c r="A4477" s="32"/>
      <c r="B4477" s="32"/>
    </row>
    <row r="4478" spans="1:2" x14ac:dyDescent="0.35">
      <c r="A4478" s="32"/>
      <c r="B4478" s="32"/>
    </row>
    <row r="4479" spans="1:2" x14ac:dyDescent="0.35">
      <c r="A4479" s="32"/>
      <c r="B4479" s="32"/>
    </row>
    <row r="4480" spans="1:2" x14ac:dyDescent="0.35">
      <c r="A4480" s="32"/>
      <c r="B4480" s="32"/>
    </row>
    <row r="4481" spans="1:2" x14ac:dyDescent="0.35">
      <c r="A4481" s="32"/>
      <c r="B4481" s="32"/>
    </row>
    <row r="4482" spans="1:2" x14ac:dyDescent="0.35">
      <c r="A4482" s="32"/>
      <c r="B4482" s="32"/>
    </row>
    <row r="4483" spans="1:2" x14ac:dyDescent="0.35">
      <c r="A4483" s="32"/>
      <c r="B4483" s="32"/>
    </row>
    <row r="4484" spans="1:2" x14ac:dyDescent="0.35">
      <c r="A4484" s="32"/>
      <c r="B4484" s="32"/>
    </row>
    <row r="4485" spans="1:2" x14ac:dyDescent="0.35">
      <c r="A4485" s="32"/>
      <c r="B4485" s="32"/>
    </row>
    <row r="4486" spans="1:2" x14ac:dyDescent="0.35">
      <c r="A4486" s="32"/>
      <c r="B4486" s="32"/>
    </row>
    <row r="4487" spans="1:2" x14ac:dyDescent="0.35">
      <c r="A4487" s="32"/>
      <c r="B4487" s="32"/>
    </row>
    <row r="4488" spans="1:2" x14ac:dyDescent="0.35">
      <c r="A4488" s="32"/>
      <c r="B4488" s="32"/>
    </row>
    <row r="4489" spans="1:2" x14ac:dyDescent="0.35">
      <c r="A4489" s="32"/>
      <c r="B4489" s="32"/>
    </row>
    <row r="4490" spans="1:2" x14ac:dyDescent="0.35">
      <c r="A4490" s="32"/>
      <c r="B4490" s="32"/>
    </row>
    <row r="4491" spans="1:2" x14ac:dyDescent="0.35">
      <c r="A4491" s="32"/>
      <c r="B4491" s="32"/>
    </row>
    <row r="4492" spans="1:2" x14ac:dyDescent="0.35">
      <c r="A4492" s="32"/>
      <c r="B4492" s="32"/>
    </row>
    <row r="4493" spans="1:2" x14ac:dyDescent="0.35">
      <c r="A4493" s="32"/>
      <c r="B4493" s="32"/>
    </row>
    <row r="4494" spans="1:2" x14ac:dyDescent="0.35">
      <c r="A4494" s="32"/>
      <c r="B4494" s="32"/>
    </row>
    <row r="4495" spans="1:2" x14ac:dyDescent="0.35">
      <c r="A4495" s="32"/>
      <c r="B4495" s="32"/>
    </row>
    <row r="4496" spans="1:2" x14ac:dyDescent="0.35">
      <c r="A4496" s="32"/>
      <c r="B4496" s="32"/>
    </row>
    <row r="4497" spans="1:2" x14ac:dyDescent="0.35">
      <c r="A4497" s="32"/>
      <c r="B4497" s="32"/>
    </row>
    <row r="4498" spans="1:2" x14ac:dyDescent="0.35">
      <c r="A4498" s="32"/>
      <c r="B4498" s="32"/>
    </row>
    <row r="4499" spans="1:2" x14ac:dyDescent="0.35">
      <c r="A4499" s="32"/>
      <c r="B4499" s="32"/>
    </row>
    <row r="4500" spans="1:2" x14ac:dyDescent="0.35">
      <c r="A4500" s="32"/>
      <c r="B4500" s="32"/>
    </row>
    <row r="4501" spans="1:2" x14ac:dyDescent="0.35">
      <c r="A4501" s="32"/>
      <c r="B4501" s="32"/>
    </row>
    <row r="4502" spans="1:2" x14ac:dyDescent="0.35">
      <c r="A4502" s="32"/>
      <c r="B4502" s="32"/>
    </row>
    <row r="4503" spans="1:2" x14ac:dyDescent="0.35">
      <c r="A4503" s="32"/>
      <c r="B4503" s="32"/>
    </row>
    <row r="4504" spans="1:2" x14ac:dyDescent="0.35">
      <c r="A4504" s="32"/>
      <c r="B4504" s="32"/>
    </row>
    <row r="4505" spans="1:2" x14ac:dyDescent="0.35">
      <c r="A4505" s="32"/>
      <c r="B4505" s="32"/>
    </row>
    <row r="4506" spans="1:2" x14ac:dyDescent="0.35">
      <c r="A4506" s="32"/>
      <c r="B4506" s="32"/>
    </row>
    <row r="4507" spans="1:2" x14ac:dyDescent="0.35">
      <c r="A4507" s="32"/>
      <c r="B4507" s="32"/>
    </row>
    <row r="4508" spans="1:2" x14ac:dyDescent="0.35">
      <c r="A4508" s="32"/>
      <c r="B4508" s="32"/>
    </row>
    <row r="4509" spans="1:2" x14ac:dyDescent="0.35">
      <c r="A4509" s="32"/>
      <c r="B4509" s="32"/>
    </row>
    <row r="4510" spans="1:2" x14ac:dyDescent="0.35">
      <c r="A4510" s="32"/>
      <c r="B4510" s="32"/>
    </row>
    <row r="4511" spans="1:2" x14ac:dyDescent="0.35">
      <c r="A4511" s="32"/>
      <c r="B4511" s="32"/>
    </row>
    <row r="4512" spans="1:2" x14ac:dyDescent="0.35">
      <c r="A4512" s="32"/>
      <c r="B4512" s="32"/>
    </row>
    <row r="4513" spans="1:2" x14ac:dyDescent="0.35">
      <c r="A4513" s="32"/>
      <c r="B4513" s="32"/>
    </row>
    <row r="4514" spans="1:2" x14ac:dyDescent="0.35">
      <c r="A4514" s="32"/>
      <c r="B4514" s="32"/>
    </row>
    <row r="4515" spans="1:2" x14ac:dyDescent="0.35">
      <c r="A4515" s="32"/>
      <c r="B4515" s="32"/>
    </row>
    <row r="4516" spans="1:2" x14ac:dyDescent="0.35">
      <c r="A4516" s="32"/>
      <c r="B4516" s="32"/>
    </row>
    <row r="4517" spans="1:2" x14ac:dyDescent="0.35">
      <c r="A4517" s="32"/>
      <c r="B4517" s="32"/>
    </row>
    <row r="4518" spans="1:2" x14ac:dyDescent="0.35">
      <c r="A4518" s="32"/>
      <c r="B4518" s="32"/>
    </row>
    <row r="4519" spans="1:2" x14ac:dyDescent="0.35">
      <c r="A4519" s="32"/>
      <c r="B4519" s="32"/>
    </row>
    <row r="4520" spans="1:2" x14ac:dyDescent="0.35">
      <c r="A4520" s="32"/>
      <c r="B4520" s="32"/>
    </row>
    <row r="4521" spans="1:2" x14ac:dyDescent="0.35">
      <c r="A4521" s="32"/>
      <c r="B4521" s="32"/>
    </row>
    <row r="4522" spans="1:2" x14ac:dyDescent="0.35">
      <c r="A4522" s="32"/>
      <c r="B4522" s="32"/>
    </row>
    <row r="4523" spans="1:2" x14ac:dyDescent="0.35">
      <c r="A4523" s="32"/>
      <c r="B4523" s="32"/>
    </row>
    <row r="4524" spans="1:2" x14ac:dyDescent="0.35">
      <c r="A4524" s="32"/>
      <c r="B4524" s="32"/>
    </row>
    <row r="4525" spans="1:2" x14ac:dyDescent="0.35">
      <c r="A4525" s="32"/>
      <c r="B4525" s="32"/>
    </row>
    <row r="4526" spans="1:2" x14ac:dyDescent="0.35">
      <c r="A4526" s="32"/>
      <c r="B4526" s="32"/>
    </row>
    <row r="4527" spans="1:2" x14ac:dyDescent="0.35">
      <c r="A4527" s="32"/>
      <c r="B4527" s="32"/>
    </row>
    <row r="4528" spans="1:2" x14ac:dyDescent="0.35">
      <c r="A4528" s="32"/>
      <c r="B4528" s="32"/>
    </row>
    <row r="4529" spans="1:2" x14ac:dyDescent="0.35">
      <c r="A4529" s="32"/>
      <c r="B4529" s="32"/>
    </row>
    <row r="4530" spans="1:2" x14ac:dyDescent="0.35">
      <c r="A4530" s="32"/>
      <c r="B4530" s="32"/>
    </row>
    <row r="4531" spans="1:2" x14ac:dyDescent="0.35">
      <c r="A4531" s="32"/>
      <c r="B4531" s="32"/>
    </row>
    <row r="4532" spans="1:2" x14ac:dyDescent="0.35">
      <c r="A4532" s="32"/>
      <c r="B4532" s="32"/>
    </row>
    <row r="4533" spans="1:2" x14ac:dyDescent="0.35">
      <c r="A4533" s="32"/>
      <c r="B4533" s="32"/>
    </row>
    <row r="4534" spans="1:2" x14ac:dyDescent="0.35">
      <c r="A4534" s="32"/>
      <c r="B4534" s="32"/>
    </row>
    <row r="4535" spans="1:2" x14ac:dyDescent="0.35">
      <c r="A4535" s="32"/>
      <c r="B4535" s="32"/>
    </row>
    <row r="4536" spans="1:2" x14ac:dyDescent="0.35">
      <c r="A4536" s="32"/>
      <c r="B4536" s="32"/>
    </row>
    <row r="4537" spans="1:2" x14ac:dyDescent="0.35">
      <c r="A4537" s="32"/>
      <c r="B4537" s="32"/>
    </row>
    <row r="4538" spans="1:2" x14ac:dyDescent="0.35">
      <c r="A4538" s="32"/>
      <c r="B4538" s="32"/>
    </row>
    <row r="4539" spans="1:2" x14ac:dyDescent="0.35">
      <c r="A4539" s="32"/>
      <c r="B4539" s="32"/>
    </row>
    <row r="4540" spans="1:2" x14ac:dyDescent="0.35">
      <c r="A4540" s="32"/>
      <c r="B4540" s="32"/>
    </row>
    <row r="4541" spans="1:2" x14ac:dyDescent="0.35">
      <c r="A4541" s="32"/>
      <c r="B4541" s="32"/>
    </row>
    <row r="4542" spans="1:2" x14ac:dyDescent="0.35">
      <c r="A4542" s="32"/>
      <c r="B4542" s="32"/>
    </row>
    <row r="4543" spans="1:2" x14ac:dyDescent="0.35">
      <c r="A4543" s="32"/>
      <c r="B4543" s="32"/>
    </row>
    <row r="4544" spans="1:2" x14ac:dyDescent="0.35">
      <c r="A4544" s="32"/>
      <c r="B4544" s="32"/>
    </row>
    <row r="4545" spans="1:2" x14ac:dyDescent="0.35">
      <c r="A4545" s="32"/>
      <c r="B4545" s="32"/>
    </row>
    <row r="4546" spans="1:2" x14ac:dyDescent="0.35">
      <c r="A4546" s="32"/>
      <c r="B4546" s="32"/>
    </row>
    <row r="4547" spans="1:2" x14ac:dyDescent="0.35">
      <c r="A4547" s="32"/>
      <c r="B4547" s="32"/>
    </row>
    <row r="4548" spans="1:2" x14ac:dyDescent="0.35">
      <c r="A4548" s="32"/>
      <c r="B4548" s="32"/>
    </row>
    <row r="4549" spans="1:2" x14ac:dyDescent="0.35">
      <c r="A4549" s="32"/>
      <c r="B4549" s="32"/>
    </row>
    <row r="4550" spans="1:2" x14ac:dyDescent="0.35">
      <c r="A4550" s="32"/>
      <c r="B4550" s="32"/>
    </row>
    <row r="4551" spans="1:2" x14ac:dyDescent="0.35">
      <c r="A4551" s="32"/>
      <c r="B4551" s="32"/>
    </row>
    <row r="4552" spans="1:2" x14ac:dyDescent="0.35">
      <c r="A4552" s="32"/>
      <c r="B4552" s="32"/>
    </row>
    <row r="4553" spans="1:2" x14ac:dyDescent="0.35">
      <c r="A4553" s="32"/>
      <c r="B4553" s="32"/>
    </row>
    <row r="4554" spans="1:2" x14ac:dyDescent="0.35">
      <c r="A4554" s="32"/>
      <c r="B4554" s="32"/>
    </row>
    <row r="4555" spans="1:2" x14ac:dyDescent="0.35">
      <c r="A4555" s="32"/>
      <c r="B4555" s="32"/>
    </row>
    <row r="4556" spans="1:2" x14ac:dyDescent="0.35">
      <c r="A4556" s="32"/>
      <c r="B4556" s="32"/>
    </row>
    <row r="4557" spans="1:2" x14ac:dyDescent="0.35">
      <c r="A4557" s="32"/>
      <c r="B4557" s="32"/>
    </row>
    <row r="4558" spans="1:2" x14ac:dyDescent="0.35">
      <c r="A4558" s="32"/>
      <c r="B4558" s="32"/>
    </row>
    <row r="4559" spans="1:2" x14ac:dyDescent="0.35">
      <c r="A4559" s="32"/>
      <c r="B4559" s="32"/>
    </row>
    <row r="4560" spans="1:2" x14ac:dyDescent="0.35">
      <c r="A4560" s="32"/>
      <c r="B4560" s="32"/>
    </row>
    <row r="4561" spans="1:2" x14ac:dyDescent="0.35">
      <c r="A4561" s="32"/>
      <c r="B4561" s="32"/>
    </row>
    <row r="4562" spans="1:2" x14ac:dyDescent="0.35">
      <c r="A4562" s="32"/>
      <c r="B4562" s="32"/>
    </row>
    <row r="4563" spans="1:2" x14ac:dyDescent="0.35">
      <c r="A4563" s="32"/>
      <c r="B4563" s="32"/>
    </row>
    <row r="4564" spans="1:2" x14ac:dyDescent="0.35">
      <c r="A4564" s="32"/>
      <c r="B4564" s="32"/>
    </row>
    <row r="4565" spans="1:2" x14ac:dyDescent="0.35">
      <c r="A4565" s="32"/>
      <c r="B4565" s="32"/>
    </row>
    <row r="4566" spans="1:2" x14ac:dyDescent="0.35">
      <c r="A4566" s="32"/>
      <c r="B4566" s="32"/>
    </row>
    <row r="4567" spans="1:2" x14ac:dyDescent="0.35">
      <c r="A4567" s="32"/>
      <c r="B4567" s="32"/>
    </row>
    <row r="4568" spans="1:2" x14ac:dyDescent="0.35">
      <c r="A4568" s="32"/>
      <c r="B4568" s="32"/>
    </row>
    <row r="4569" spans="1:2" x14ac:dyDescent="0.35">
      <c r="A4569" s="32"/>
      <c r="B4569" s="32"/>
    </row>
    <row r="4570" spans="1:2" x14ac:dyDescent="0.35">
      <c r="A4570" s="32"/>
      <c r="B4570" s="32"/>
    </row>
    <row r="4571" spans="1:2" x14ac:dyDescent="0.35">
      <c r="A4571" s="32"/>
      <c r="B4571" s="32"/>
    </row>
    <row r="4572" spans="1:2" x14ac:dyDescent="0.35">
      <c r="A4572" s="32"/>
      <c r="B4572" s="32"/>
    </row>
    <row r="4573" spans="1:2" x14ac:dyDescent="0.35">
      <c r="A4573" s="32"/>
      <c r="B4573" s="32"/>
    </row>
    <row r="4574" spans="1:2" x14ac:dyDescent="0.35">
      <c r="A4574" s="32"/>
      <c r="B4574" s="32"/>
    </row>
    <row r="4575" spans="1:2" x14ac:dyDescent="0.35">
      <c r="A4575" s="32"/>
      <c r="B4575" s="32"/>
    </row>
    <row r="4576" spans="1:2" x14ac:dyDescent="0.35">
      <c r="A4576" s="32"/>
      <c r="B4576" s="32"/>
    </row>
    <row r="4577" spans="1:2" x14ac:dyDescent="0.35">
      <c r="A4577" s="32"/>
      <c r="B4577" s="32"/>
    </row>
    <row r="4578" spans="1:2" x14ac:dyDescent="0.35">
      <c r="A4578" s="32"/>
      <c r="B4578" s="32"/>
    </row>
    <row r="4579" spans="1:2" x14ac:dyDescent="0.35">
      <c r="A4579" s="32"/>
      <c r="B4579" s="32"/>
    </row>
    <row r="4580" spans="1:2" x14ac:dyDescent="0.35">
      <c r="A4580" s="32"/>
      <c r="B4580" s="32"/>
    </row>
    <row r="4581" spans="1:2" x14ac:dyDescent="0.35">
      <c r="A4581" s="32"/>
      <c r="B4581" s="32"/>
    </row>
    <row r="4582" spans="1:2" x14ac:dyDescent="0.35">
      <c r="A4582" s="32"/>
      <c r="B4582" s="32"/>
    </row>
    <row r="4583" spans="1:2" x14ac:dyDescent="0.35">
      <c r="A4583" s="32"/>
      <c r="B4583" s="32"/>
    </row>
    <row r="4584" spans="1:2" x14ac:dyDescent="0.35">
      <c r="A4584" s="32"/>
      <c r="B4584" s="32"/>
    </row>
    <row r="4585" spans="1:2" x14ac:dyDescent="0.35">
      <c r="A4585" s="32"/>
      <c r="B4585" s="32"/>
    </row>
    <row r="4586" spans="1:2" x14ac:dyDescent="0.35">
      <c r="A4586" s="32"/>
      <c r="B4586" s="32"/>
    </row>
    <row r="4587" spans="1:2" x14ac:dyDescent="0.35">
      <c r="A4587" s="32"/>
      <c r="B4587" s="32"/>
    </row>
    <row r="4588" spans="1:2" x14ac:dyDescent="0.35">
      <c r="A4588" s="32"/>
      <c r="B4588" s="32"/>
    </row>
    <row r="4589" spans="1:2" x14ac:dyDescent="0.35">
      <c r="A4589" s="32"/>
      <c r="B4589" s="32"/>
    </row>
    <row r="4590" spans="1:2" x14ac:dyDescent="0.35">
      <c r="A4590" s="32"/>
      <c r="B4590" s="32"/>
    </row>
    <row r="4591" spans="1:2" x14ac:dyDescent="0.35">
      <c r="A4591" s="32"/>
      <c r="B4591" s="32"/>
    </row>
    <row r="4592" spans="1:2" x14ac:dyDescent="0.35">
      <c r="A4592" s="32"/>
      <c r="B4592" s="32"/>
    </row>
    <row r="4593" spans="1:2" x14ac:dyDescent="0.35">
      <c r="A4593" s="32"/>
      <c r="B4593" s="32"/>
    </row>
    <row r="4594" spans="1:2" x14ac:dyDescent="0.35">
      <c r="A4594" s="32"/>
      <c r="B4594" s="32"/>
    </row>
    <row r="4595" spans="1:2" x14ac:dyDescent="0.35">
      <c r="A4595" s="32"/>
      <c r="B4595" s="32"/>
    </row>
    <row r="4596" spans="1:2" x14ac:dyDescent="0.35">
      <c r="A4596" s="32"/>
      <c r="B4596" s="32"/>
    </row>
    <row r="4597" spans="1:2" x14ac:dyDescent="0.35">
      <c r="A4597" s="32"/>
      <c r="B4597" s="32"/>
    </row>
    <row r="4598" spans="1:2" x14ac:dyDescent="0.35">
      <c r="A4598" s="32"/>
      <c r="B4598" s="32"/>
    </row>
    <row r="4599" spans="1:2" x14ac:dyDescent="0.35">
      <c r="A4599" s="32"/>
      <c r="B4599" s="32"/>
    </row>
    <row r="4600" spans="1:2" x14ac:dyDescent="0.35">
      <c r="A4600" s="32"/>
      <c r="B4600" s="32"/>
    </row>
    <row r="4601" spans="1:2" x14ac:dyDescent="0.35">
      <c r="A4601" s="32"/>
      <c r="B4601" s="32"/>
    </row>
    <row r="4602" spans="1:2" x14ac:dyDescent="0.35">
      <c r="A4602" s="32"/>
      <c r="B4602" s="32"/>
    </row>
    <row r="4603" spans="1:2" x14ac:dyDescent="0.35">
      <c r="A4603" s="32"/>
      <c r="B4603" s="32"/>
    </row>
    <row r="4604" spans="1:2" x14ac:dyDescent="0.35">
      <c r="A4604" s="32"/>
      <c r="B4604" s="32"/>
    </row>
    <row r="4605" spans="1:2" x14ac:dyDescent="0.35">
      <c r="A4605" s="32"/>
      <c r="B4605" s="32"/>
    </row>
    <row r="4606" spans="1:2" x14ac:dyDescent="0.35">
      <c r="A4606" s="32"/>
      <c r="B4606" s="32"/>
    </row>
    <row r="4607" spans="1:2" x14ac:dyDescent="0.35">
      <c r="A4607" s="32"/>
      <c r="B4607" s="32"/>
    </row>
    <row r="4608" spans="1:2" x14ac:dyDescent="0.35">
      <c r="A4608" s="32"/>
      <c r="B4608" s="32"/>
    </row>
    <row r="4609" spans="1:2" x14ac:dyDescent="0.35">
      <c r="A4609" s="32"/>
      <c r="B4609" s="32"/>
    </row>
    <row r="4610" spans="1:2" x14ac:dyDescent="0.35">
      <c r="A4610" s="32"/>
      <c r="B4610" s="32"/>
    </row>
    <row r="4611" spans="1:2" x14ac:dyDescent="0.35">
      <c r="A4611" s="32"/>
      <c r="B4611" s="32"/>
    </row>
    <row r="4612" spans="1:2" x14ac:dyDescent="0.35">
      <c r="A4612" s="32"/>
      <c r="B4612" s="32"/>
    </row>
    <row r="4613" spans="1:2" x14ac:dyDescent="0.35">
      <c r="A4613" s="32"/>
      <c r="B4613" s="32"/>
    </row>
    <row r="4614" spans="1:2" x14ac:dyDescent="0.35">
      <c r="A4614" s="32"/>
      <c r="B4614" s="32"/>
    </row>
    <row r="4615" spans="1:2" x14ac:dyDescent="0.35">
      <c r="A4615" s="32"/>
      <c r="B4615" s="32"/>
    </row>
    <row r="4616" spans="1:2" x14ac:dyDescent="0.35">
      <c r="A4616" s="32"/>
      <c r="B4616" s="32"/>
    </row>
    <row r="4617" spans="1:2" x14ac:dyDescent="0.35">
      <c r="A4617" s="32"/>
      <c r="B4617" s="32"/>
    </row>
    <row r="4618" spans="1:2" x14ac:dyDescent="0.35">
      <c r="A4618" s="32"/>
      <c r="B4618" s="32"/>
    </row>
    <row r="4619" spans="1:2" x14ac:dyDescent="0.35">
      <c r="A4619" s="32"/>
      <c r="B4619" s="32"/>
    </row>
    <row r="4620" spans="1:2" x14ac:dyDescent="0.35">
      <c r="A4620" s="32"/>
      <c r="B4620" s="32"/>
    </row>
    <row r="4621" spans="1:2" x14ac:dyDescent="0.35">
      <c r="A4621" s="32"/>
      <c r="B4621" s="32"/>
    </row>
    <row r="4622" spans="1:2" x14ac:dyDescent="0.35">
      <c r="A4622" s="32"/>
      <c r="B4622" s="32"/>
    </row>
    <row r="4623" spans="1:2" x14ac:dyDescent="0.35">
      <c r="A4623" s="32"/>
      <c r="B4623" s="32"/>
    </row>
    <row r="4624" spans="1:2" x14ac:dyDescent="0.35">
      <c r="A4624" s="32"/>
      <c r="B4624" s="32"/>
    </row>
    <row r="4625" spans="1:2" x14ac:dyDescent="0.35">
      <c r="A4625" s="32"/>
      <c r="B4625" s="32"/>
    </row>
    <row r="4626" spans="1:2" x14ac:dyDescent="0.35">
      <c r="A4626" s="32"/>
      <c r="B4626" s="32"/>
    </row>
    <row r="4627" spans="1:2" x14ac:dyDescent="0.35">
      <c r="A4627" s="32"/>
      <c r="B4627" s="32"/>
    </row>
    <row r="4628" spans="1:2" x14ac:dyDescent="0.35">
      <c r="A4628" s="32"/>
      <c r="B4628" s="32"/>
    </row>
    <row r="4629" spans="1:2" x14ac:dyDescent="0.35">
      <c r="A4629" s="32"/>
      <c r="B4629" s="32"/>
    </row>
    <row r="4630" spans="1:2" x14ac:dyDescent="0.35">
      <c r="A4630" s="32"/>
      <c r="B4630" s="32"/>
    </row>
    <row r="4631" spans="1:2" x14ac:dyDescent="0.35">
      <c r="A4631" s="32"/>
      <c r="B4631" s="32"/>
    </row>
    <row r="4632" spans="1:2" x14ac:dyDescent="0.35">
      <c r="A4632" s="32"/>
      <c r="B4632" s="32"/>
    </row>
    <row r="4633" spans="1:2" x14ac:dyDescent="0.35">
      <c r="A4633" s="32"/>
      <c r="B4633" s="32"/>
    </row>
    <row r="4634" spans="1:2" x14ac:dyDescent="0.35">
      <c r="A4634" s="32"/>
      <c r="B4634" s="32"/>
    </row>
    <row r="4635" spans="1:2" x14ac:dyDescent="0.35">
      <c r="A4635" s="32"/>
      <c r="B4635" s="32"/>
    </row>
    <row r="4636" spans="1:2" x14ac:dyDescent="0.35">
      <c r="A4636" s="32"/>
      <c r="B4636" s="32"/>
    </row>
    <row r="4637" spans="1:2" x14ac:dyDescent="0.35">
      <c r="A4637" s="32"/>
      <c r="B4637" s="32"/>
    </row>
    <row r="4638" spans="1:2" x14ac:dyDescent="0.35">
      <c r="A4638" s="32"/>
      <c r="B4638" s="32"/>
    </row>
    <row r="4639" spans="1:2" x14ac:dyDescent="0.35">
      <c r="A4639" s="32"/>
      <c r="B4639" s="32"/>
    </row>
    <row r="4640" spans="1:2" x14ac:dyDescent="0.35">
      <c r="A4640" s="32"/>
      <c r="B4640" s="32"/>
    </row>
    <row r="4641" spans="1:2" x14ac:dyDescent="0.35">
      <c r="A4641" s="32"/>
      <c r="B4641" s="32"/>
    </row>
    <row r="4642" spans="1:2" x14ac:dyDescent="0.35">
      <c r="A4642" s="32"/>
      <c r="B4642" s="32"/>
    </row>
    <row r="4643" spans="1:2" x14ac:dyDescent="0.35">
      <c r="A4643" s="32"/>
      <c r="B4643" s="32"/>
    </row>
    <row r="4644" spans="1:2" x14ac:dyDescent="0.35">
      <c r="A4644" s="32"/>
      <c r="B4644" s="32"/>
    </row>
    <row r="4645" spans="1:2" x14ac:dyDescent="0.35">
      <c r="A4645" s="32"/>
      <c r="B4645" s="32"/>
    </row>
    <row r="4646" spans="1:2" x14ac:dyDescent="0.35">
      <c r="A4646" s="32"/>
      <c r="B4646" s="32"/>
    </row>
    <row r="4647" spans="1:2" x14ac:dyDescent="0.35">
      <c r="A4647" s="32"/>
      <c r="B4647" s="32"/>
    </row>
    <row r="4648" spans="1:2" x14ac:dyDescent="0.35">
      <c r="A4648" s="32"/>
      <c r="B4648" s="32"/>
    </row>
    <row r="4649" spans="1:2" x14ac:dyDescent="0.35">
      <c r="A4649" s="32"/>
      <c r="B4649" s="32"/>
    </row>
    <row r="4650" spans="1:2" x14ac:dyDescent="0.35">
      <c r="A4650" s="32"/>
      <c r="B4650" s="32"/>
    </row>
    <row r="4651" spans="1:2" x14ac:dyDescent="0.35">
      <c r="A4651" s="32"/>
      <c r="B4651" s="32"/>
    </row>
    <row r="4652" spans="1:2" x14ac:dyDescent="0.35">
      <c r="A4652" s="32"/>
      <c r="B4652" s="32"/>
    </row>
    <row r="4653" spans="1:2" x14ac:dyDescent="0.35">
      <c r="A4653" s="32"/>
      <c r="B4653" s="32"/>
    </row>
    <row r="4654" spans="1:2" x14ac:dyDescent="0.35">
      <c r="A4654" s="32"/>
      <c r="B4654" s="32"/>
    </row>
    <row r="4655" spans="1:2" x14ac:dyDescent="0.35">
      <c r="A4655" s="32"/>
      <c r="B4655" s="32"/>
    </row>
    <row r="4656" spans="1:2" x14ac:dyDescent="0.35">
      <c r="A4656" s="32"/>
      <c r="B4656" s="32"/>
    </row>
    <row r="4657" spans="1:2" x14ac:dyDescent="0.35">
      <c r="A4657" s="32"/>
      <c r="B4657" s="32"/>
    </row>
    <row r="4658" spans="1:2" x14ac:dyDescent="0.35">
      <c r="A4658" s="32"/>
      <c r="B4658" s="32"/>
    </row>
    <row r="4659" spans="1:2" x14ac:dyDescent="0.35">
      <c r="A4659" s="32"/>
      <c r="B4659" s="32"/>
    </row>
    <row r="4660" spans="1:2" x14ac:dyDescent="0.35">
      <c r="A4660" s="32"/>
      <c r="B4660" s="32"/>
    </row>
    <row r="4661" spans="1:2" x14ac:dyDescent="0.35">
      <c r="A4661" s="32"/>
      <c r="B4661" s="32"/>
    </row>
    <row r="4662" spans="1:2" x14ac:dyDescent="0.35">
      <c r="A4662" s="32"/>
      <c r="B4662" s="32"/>
    </row>
    <row r="4663" spans="1:2" x14ac:dyDescent="0.35">
      <c r="A4663" s="32"/>
      <c r="B4663" s="32"/>
    </row>
    <row r="4664" spans="1:2" x14ac:dyDescent="0.35">
      <c r="A4664" s="32"/>
      <c r="B4664" s="32"/>
    </row>
    <row r="4665" spans="1:2" x14ac:dyDescent="0.35">
      <c r="A4665" s="32"/>
      <c r="B4665" s="32"/>
    </row>
    <row r="4666" spans="1:2" x14ac:dyDescent="0.35">
      <c r="A4666" s="32"/>
      <c r="B4666" s="32"/>
    </row>
    <row r="4667" spans="1:2" x14ac:dyDescent="0.35">
      <c r="A4667" s="32"/>
      <c r="B4667" s="32"/>
    </row>
    <row r="4668" spans="1:2" x14ac:dyDescent="0.35">
      <c r="A4668" s="32"/>
      <c r="B4668" s="32"/>
    </row>
    <row r="4669" spans="1:2" x14ac:dyDescent="0.35">
      <c r="A4669" s="32"/>
      <c r="B4669" s="32"/>
    </row>
    <row r="4670" spans="1:2" x14ac:dyDescent="0.35">
      <c r="A4670" s="32"/>
      <c r="B4670" s="32"/>
    </row>
    <row r="4671" spans="1:2" x14ac:dyDescent="0.35">
      <c r="A4671" s="32"/>
      <c r="B4671" s="32"/>
    </row>
    <row r="4672" spans="1:2" x14ac:dyDescent="0.35">
      <c r="A4672" s="32"/>
      <c r="B4672" s="32"/>
    </row>
    <row r="4673" spans="1:2" x14ac:dyDescent="0.35">
      <c r="A4673" s="32"/>
      <c r="B4673" s="32"/>
    </row>
    <row r="4674" spans="1:2" x14ac:dyDescent="0.35">
      <c r="A4674" s="32"/>
      <c r="B4674" s="32"/>
    </row>
    <row r="4675" spans="1:2" x14ac:dyDescent="0.35">
      <c r="A4675" s="32"/>
      <c r="B4675" s="32"/>
    </row>
    <row r="4676" spans="1:2" x14ac:dyDescent="0.35">
      <c r="A4676" s="32"/>
      <c r="B4676" s="32"/>
    </row>
    <row r="4677" spans="1:2" x14ac:dyDescent="0.35">
      <c r="A4677" s="32"/>
      <c r="B4677" s="32"/>
    </row>
    <row r="4678" spans="1:2" x14ac:dyDescent="0.35">
      <c r="A4678" s="32"/>
      <c r="B4678" s="32"/>
    </row>
    <row r="4679" spans="1:2" x14ac:dyDescent="0.35">
      <c r="A4679" s="32"/>
      <c r="B4679" s="32"/>
    </row>
    <row r="4680" spans="1:2" x14ac:dyDescent="0.35">
      <c r="A4680" s="32"/>
      <c r="B4680" s="32"/>
    </row>
    <row r="4681" spans="1:2" x14ac:dyDescent="0.35">
      <c r="A4681" s="32"/>
      <c r="B4681" s="32"/>
    </row>
    <row r="4682" spans="1:2" x14ac:dyDescent="0.35">
      <c r="A4682" s="32"/>
      <c r="B4682" s="32"/>
    </row>
    <row r="4683" spans="1:2" x14ac:dyDescent="0.35">
      <c r="A4683" s="32"/>
      <c r="B4683" s="32"/>
    </row>
    <row r="4684" spans="1:2" x14ac:dyDescent="0.35">
      <c r="A4684" s="32"/>
      <c r="B4684" s="32"/>
    </row>
    <row r="4685" spans="1:2" x14ac:dyDescent="0.35">
      <c r="A4685" s="32"/>
      <c r="B4685" s="32"/>
    </row>
    <row r="4686" spans="1:2" x14ac:dyDescent="0.35">
      <c r="A4686" s="32"/>
      <c r="B4686" s="32"/>
    </row>
    <row r="4687" spans="1:2" x14ac:dyDescent="0.35">
      <c r="A4687" s="32"/>
      <c r="B4687" s="32"/>
    </row>
    <row r="4688" spans="1:2" x14ac:dyDescent="0.35">
      <c r="A4688" s="32"/>
      <c r="B4688" s="32"/>
    </row>
    <row r="4689" spans="1:2" x14ac:dyDescent="0.35">
      <c r="A4689" s="32"/>
      <c r="B4689" s="32"/>
    </row>
    <row r="4690" spans="1:2" x14ac:dyDescent="0.35">
      <c r="A4690" s="32"/>
      <c r="B4690" s="32"/>
    </row>
    <row r="4691" spans="1:2" x14ac:dyDescent="0.35">
      <c r="A4691" s="32"/>
      <c r="B4691" s="32"/>
    </row>
    <row r="4692" spans="1:2" x14ac:dyDescent="0.35">
      <c r="A4692" s="32"/>
      <c r="B4692" s="32"/>
    </row>
    <row r="4693" spans="1:2" x14ac:dyDescent="0.35">
      <c r="A4693" s="32"/>
      <c r="B4693" s="32"/>
    </row>
    <row r="4694" spans="1:2" x14ac:dyDescent="0.35">
      <c r="A4694" s="32"/>
      <c r="B4694" s="32"/>
    </row>
    <row r="4695" spans="1:2" x14ac:dyDescent="0.35">
      <c r="A4695" s="32"/>
      <c r="B4695" s="32"/>
    </row>
    <row r="4696" spans="1:2" x14ac:dyDescent="0.35">
      <c r="A4696" s="32"/>
      <c r="B4696" s="32"/>
    </row>
    <row r="4697" spans="1:2" x14ac:dyDescent="0.35">
      <c r="A4697" s="32"/>
      <c r="B4697" s="32"/>
    </row>
    <row r="4698" spans="1:2" x14ac:dyDescent="0.35">
      <c r="A4698" s="32"/>
      <c r="B4698" s="32"/>
    </row>
    <row r="4699" spans="1:2" x14ac:dyDescent="0.35">
      <c r="A4699" s="32"/>
      <c r="B4699" s="32"/>
    </row>
    <row r="4700" spans="1:2" x14ac:dyDescent="0.35">
      <c r="A4700" s="32"/>
      <c r="B4700" s="32"/>
    </row>
    <row r="4701" spans="1:2" x14ac:dyDescent="0.35">
      <c r="A4701" s="32"/>
      <c r="B4701" s="32"/>
    </row>
    <row r="4702" spans="1:2" x14ac:dyDescent="0.35">
      <c r="A4702" s="32"/>
      <c r="B4702" s="32"/>
    </row>
    <row r="4703" spans="1:2" x14ac:dyDescent="0.35">
      <c r="A4703" s="32"/>
      <c r="B4703" s="32"/>
    </row>
    <row r="4704" spans="1:2" x14ac:dyDescent="0.35">
      <c r="A4704" s="32"/>
      <c r="B4704" s="32"/>
    </row>
    <row r="4705" spans="1:2" x14ac:dyDescent="0.35">
      <c r="A4705" s="32"/>
      <c r="B4705" s="32"/>
    </row>
    <row r="4706" spans="1:2" x14ac:dyDescent="0.35">
      <c r="A4706" s="32"/>
      <c r="B4706" s="32"/>
    </row>
    <row r="4707" spans="1:2" x14ac:dyDescent="0.35">
      <c r="A4707" s="32"/>
      <c r="B4707" s="32"/>
    </row>
    <row r="4708" spans="1:2" x14ac:dyDescent="0.35">
      <c r="A4708" s="32"/>
      <c r="B4708" s="32"/>
    </row>
    <row r="4709" spans="1:2" x14ac:dyDescent="0.35">
      <c r="A4709" s="32"/>
      <c r="B4709" s="32"/>
    </row>
    <row r="4710" spans="1:2" x14ac:dyDescent="0.35">
      <c r="A4710" s="32"/>
      <c r="B4710" s="32"/>
    </row>
    <row r="4711" spans="1:2" x14ac:dyDescent="0.35">
      <c r="A4711" s="32"/>
      <c r="B4711" s="32"/>
    </row>
    <row r="4712" spans="1:2" x14ac:dyDescent="0.35">
      <c r="A4712" s="32"/>
      <c r="B4712" s="32"/>
    </row>
    <row r="4713" spans="1:2" x14ac:dyDescent="0.35">
      <c r="A4713" s="32"/>
      <c r="B4713" s="32"/>
    </row>
    <row r="4714" spans="1:2" x14ac:dyDescent="0.35">
      <c r="A4714" s="32"/>
      <c r="B4714" s="32"/>
    </row>
    <row r="4715" spans="1:2" x14ac:dyDescent="0.35">
      <c r="A4715" s="32"/>
      <c r="B4715" s="32"/>
    </row>
    <row r="4716" spans="1:2" x14ac:dyDescent="0.35">
      <c r="A4716" s="32"/>
      <c r="B4716" s="32"/>
    </row>
    <row r="4717" spans="1:2" x14ac:dyDescent="0.35">
      <c r="A4717" s="32"/>
      <c r="B4717" s="32"/>
    </row>
    <row r="4718" spans="1:2" x14ac:dyDescent="0.35">
      <c r="A4718" s="32"/>
      <c r="B4718" s="32"/>
    </row>
    <row r="4719" spans="1:2" x14ac:dyDescent="0.35">
      <c r="A4719" s="32"/>
      <c r="B4719" s="32"/>
    </row>
    <row r="4720" spans="1:2" x14ac:dyDescent="0.35">
      <c r="A4720" s="32"/>
      <c r="B4720" s="32"/>
    </row>
    <row r="4721" spans="1:2" x14ac:dyDescent="0.35">
      <c r="A4721" s="32"/>
      <c r="B4721" s="32"/>
    </row>
    <row r="4722" spans="1:2" x14ac:dyDescent="0.35">
      <c r="A4722" s="32"/>
      <c r="B4722" s="32"/>
    </row>
    <row r="4723" spans="1:2" x14ac:dyDescent="0.35">
      <c r="A4723" s="32"/>
      <c r="B4723" s="32"/>
    </row>
    <row r="4724" spans="1:2" x14ac:dyDescent="0.35">
      <c r="A4724" s="32"/>
      <c r="B4724" s="32"/>
    </row>
    <row r="4725" spans="1:2" x14ac:dyDescent="0.35">
      <c r="A4725" s="32"/>
      <c r="B4725" s="32"/>
    </row>
    <row r="4726" spans="1:2" x14ac:dyDescent="0.35">
      <c r="A4726" s="32"/>
      <c r="B4726" s="32"/>
    </row>
    <row r="4727" spans="1:2" x14ac:dyDescent="0.35">
      <c r="A4727" s="32"/>
      <c r="B4727" s="32"/>
    </row>
    <row r="4728" spans="1:2" x14ac:dyDescent="0.35">
      <c r="A4728" s="32"/>
      <c r="B4728" s="32"/>
    </row>
    <row r="4729" spans="1:2" x14ac:dyDescent="0.35">
      <c r="A4729" s="32"/>
      <c r="B4729" s="32"/>
    </row>
    <row r="4730" spans="1:2" x14ac:dyDescent="0.35">
      <c r="A4730" s="32"/>
      <c r="B4730" s="32"/>
    </row>
    <row r="4731" spans="1:2" x14ac:dyDescent="0.35">
      <c r="A4731" s="32"/>
      <c r="B4731" s="32"/>
    </row>
    <row r="4732" spans="1:2" x14ac:dyDescent="0.35">
      <c r="A4732" s="32"/>
      <c r="B4732" s="32"/>
    </row>
    <row r="4733" spans="1:2" x14ac:dyDescent="0.35">
      <c r="A4733" s="32"/>
      <c r="B4733" s="32"/>
    </row>
    <row r="4734" spans="1:2" x14ac:dyDescent="0.35">
      <c r="A4734" s="32"/>
      <c r="B4734" s="32"/>
    </row>
    <row r="4735" spans="1:2" x14ac:dyDescent="0.35">
      <c r="A4735" s="32"/>
      <c r="B4735" s="32"/>
    </row>
    <row r="4736" spans="1:2" x14ac:dyDescent="0.35">
      <c r="A4736" s="32"/>
      <c r="B4736" s="32"/>
    </row>
    <row r="4737" spans="1:2" x14ac:dyDescent="0.35">
      <c r="A4737" s="32"/>
      <c r="B4737" s="32"/>
    </row>
    <row r="4738" spans="1:2" x14ac:dyDescent="0.35">
      <c r="A4738" s="32"/>
      <c r="B4738" s="32"/>
    </row>
    <row r="4739" spans="1:2" x14ac:dyDescent="0.35">
      <c r="A4739" s="32"/>
      <c r="B4739" s="32"/>
    </row>
    <row r="4740" spans="1:2" x14ac:dyDescent="0.35">
      <c r="A4740" s="32"/>
      <c r="B4740" s="32"/>
    </row>
    <row r="4741" spans="1:2" x14ac:dyDescent="0.35">
      <c r="A4741" s="32"/>
      <c r="B4741" s="32"/>
    </row>
    <row r="4742" spans="1:2" x14ac:dyDescent="0.35">
      <c r="A4742" s="32"/>
      <c r="B4742" s="32"/>
    </row>
    <row r="4743" spans="1:2" x14ac:dyDescent="0.35">
      <c r="A4743" s="32"/>
      <c r="B4743" s="32"/>
    </row>
    <row r="4744" spans="1:2" x14ac:dyDescent="0.35">
      <c r="A4744" s="32"/>
      <c r="B4744" s="32"/>
    </row>
    <row r="4745" spans="1:2" x14ac:dyDescent="0.35">
      <c r="A4745" s="32"/>
      <c r="B4745" s="32"/>
    </row>
    <row r="4746" spans="1:2" x14ac:dyDescent="0.35">
      <c r="A4746" s="32"/>
      <c r="B4746" s="32"/>
    </row>
    <row r="4747" spans="1:2" x14ac:dyDescent="0.35">
      <c r="A4747" s="32"/>
      <c r="B4747" s="32"/>
    </row>
    <row r="4748" spans="1:2" x14ac:dyDescent="0.35">
      <c r="A4748" s="32"/>
      <c r="B4748" s="32"/>
    </row>
    <row r="4749" spans="1:2" x14ac:dyDescent="0.35">
      <c r="A4749" s="32"/>
      <c r="B4749" s="32"/>
    </row>
    <row r="4750" spans="1:2" x14ac:dyDescent="0.35">
      <c r="A4750" s="32"/>
      <c r="B4750" s="32"/>
    </row>
    <row r="4751" spans="1:2" x14ac:dyDescent="0.35">
      <c r="A4751" s="32"/>
      <c r="B4751" s="32"/>
    </row>
    <row r="4752" spans="1:2" x14ac:dyDescent="0.35">
      <c r="A4752" s="32"/>
      <c r="B4752" s="32"/>
    </row>
    <row r="4753" spans="1:2" x14ac:dyDescent="0.35">
      <c r="A4753" s="32"/>
      <c r="B4753" s="32"/>
    </row>
    <row r="4754" spans="1:2" x14ac:dyDescent="0.35">
      <c r="A4754" s="32"/>
      <c r="B4754" s="32"/>
    </row>
    <row r="4755" spans="1:2" x14ac:dyDescent="0.35">
      <c r="A4755" s="32"/>
      <c r="B4755" s="32"/>
    </row>
    <row r="4756" spans="1:2" x14ac:dyDescent="0.35">
      <c r="A4756" s="32"/>
      <c r="B4756" s="32"/>
    </row>
    <row r="4757" spans="1:2" x14ac:dyDescent="0.35">
      <c r="A4757" s="32"/>
      <c r="B4757" s="32"/>
    </row>
    <row r="4758" spans="1:2" x14ac:dyDescent="0.35">
      <c r="A4758" s="32"/>
      <c r="B4758" s="32"/>
    </row>
    <row r="4759" spans="1:2" x14ac:dyDescent="0.35">
      <c r="A4759" s="32"/>
      <c r="B4759" s="32"/>
    </row>
    <row r="4760" spans="1:2" x14ac:dyDescent="0.35">
      <c r="A4760" s="32"/>
      <c r="B4760" s="32"/>
    </row>
    <row r="4761" spans="1:2" x14ac:dyDescent="0.35">
      <c r="A4761" s="32"/>
      <c r="B4761" s="32"/>
    </row>
    <row r="4762" spans="1:2" x14ac:dyDescent="0.35">
      <c r="A4762" s="32"/>
      <c r="B4762" s="32"/>
    </row>
    <row r="4763" spans="1:2" x14ac:dyDescent="0.35">
      <c r="A4763" s="32"/>
      <c r="B4763" s="32"/>
    </row>
    <row r="4764" spans="1:2" x14ac:dyDescent="0.35">
      <c r="A4764" s="32"/>
      <c r="B4764" s="32"/>
    </row>
    <row r="4765" spans="1:2" x14ac:dyDescent="0.35">
      <c r="A4765" s="32"/>
      <c r="B4765" s="32"/>
    </row>
    <row r="4766" spans="1:2" x14ac:dyDescent="0.35">
      <c r="A4766" s="32"/>
      <c r="B4766" s="32"/>
    </row>
    <row r="4767" spans="1:2" x14ac:dyDescent="0.35">
      <c r="A4767" s="32"/>
      <c r="B4767" s="32"/>
    </row>
    <row r="4768" spans="1:2" x14ac:dyDescent="0.35">
      <c r="A4768" s="32"/>
      <c r="B4768" s="32"/>
    </row>
    <row r="4769" spans="1:2" x14ac:dyDescent="0.35">
      <c r="A4769" s="32"/>
      <c r="B4769" s="32"/>
    </row>
    <row r="4770" spans="1:2" x14ac:dyDescent="0.35">
      <c r="A4770" s="32"/>
      <c r="B4770" s="32"/>
    </row>
    <row r="4771" spans="1:2" x14ac:dyDescent="0.35">
      <c r="A4771" s="32"/>
      <c r="B4771" s="32"/>
    </row>
    <row r="4772" spans="1:2" x14ac:dyDescent="0.35">
      <c r="A4772" s="32"/>
      <c r="B4772" s="32"/>
    </row>
    <row r="4773" spans="1:2" x14ac:dyDescent="0.35">
      <c r="A4773" s="32"/>
      <c r="B4773" s="32"/>
    </row>
    <row r="4774" spans="1:2" x14ac:dyDescent="0.35">
      <c r="A4774" s="32"/>
      <c r="B4774" s="32"/>
    </row>
    <row r="4775" spans="1:2" x14ac:dyDescent="0.35">
      <c r="A4775" s="32"/>
      <c r="B4775" s="32"/>
    </row>
    <row r="4776" spans="1:2" x14ac:dyDescent="0.35">
      <c r="A4776" s="32"/>
      <c r="B4776" s="32"/>
    </row>
    <row r="4777" spans="1:2" x14ac:dyDescent="0.35">
      <c r="A4777" s="32"/>
      <c r="B4777" s="32"/>
    </row>
    <row r="4778" spans="1:2" x14ac:dyDescent="0.35">
      <c r="A4778" s="32"/>
      <c r="B4778" s="32"/>
    </row>
    <row r="4779" spans="1:2" x14ac:dyDescent="0.35">
      <c r="A4779" s="32"/>
      <c r="B4779" s="32"/>
    </row>
    <row r="4780" spans="1:2" x14ac:dyDescent="0.35">
      <c r="A4780" s="32"/>
      <c r="B4780" s="32"/>
    </row>
    <row r="4781" spans="1:2" x14ac:dyDescent="0.35">
      <c r="A4781" s="32"/>
      <c r="B4781" s="32"/>
    </row>
    <row r="4782" spans="1:2" x14ac:dyDescent="0.35">
      <c r="A4782" s="32"/>
      <c r="B4782" s="32"/>
    </row>
    <row r="4783" spans="1:2" x14ac:dyDescent="0.35">
      <c r="A4783" s="32"/>
      <c r="B4783" s="32"/>
    </row>
    <row r="4784" spans="1:2" x14ac:dyDescent="0.35">
      <c r="A4784" s="32"/>
      <c r="B4784" s="32"/>
    </row>
    <row r="4785" spans="1:2" x14ac:dyDescent="0.35">
      <c r="A4785" s="32"/>
      <c r="B4785" s="32"/>
    </row>
    <row r="4786" spans="1:2" x14ac:dyDescent="0.35">
      <c r="A4786" s="32"/>
      <c r="B4786" s="32"/>
    </row>
    <row r="4787" spans="1:2" x14ac:dyDescent="0.35">
      <c r="A4787" s="32"/>
      <c r="B4787" s="32"/>
    </row>
    <row r="4788" spans="1:2" x14ac:dyDescent="0.35">
      <c r="A4788" s="32"/>
      <c r="B4788" s="32"/>
    </row>
    <row r="4789" spans="1:2" x14ac:dyDescent="0.35">
      <c r="A4789" s="32"/>
      <c r="B4789" s="32"/>
    </row>
    <row r="4790" spans="1:2" x14ac:dyDescent="0.35">
      <c r="A4790" s="32"/>
      <c r="B4790" s="32"/>
    </row>
    <row r="4791" spans="1:2" x14ac:dyDescent="0.35">
      <c r="A4791" s="32"/>
      <c r="B4791" s="32"/>
    </row>
    <row r="4792" spans="1:2" x14ac:dyDescent="0.35">
      <c r="A4792" s="32"/>
      <c r="B4792" s="32"/>
    </row>
    <row r="4793" spans="1:2" x14ac:dyDescent="0.35">
      <c r="A4793" s="32"/>
      <c r="B4793" s="32"/>
    </row>
    <row r="4794" spans="1:2" x14ac:dyDescent="0.35">
      <c r="A4794" s="32"/>
      <c r="B4794" s="32"/>
    </row>
    <row r="4795" spans="1:2" x14ac:dyDescent="0.35">
      <c r="A4795" s="32"/>
      <c r="B4795" s="32"/>
    </row>
    <row r="4796" spans="1:2" x14ac:dyDescent="0.35">
      <c r="A4796" s="32"/>
      <c r="B4796" s="32"/>
    </row>
    <row r="4797" spans="1:2" x14ac:dyDescent="0.35">
      <c r="A4797" s="32"/>
      <c r="B4797" s="32"/>
    </row>
    <row r="4798" spans="1:2" x14ac:dyDescent="0.35">
      <c r="A4798" s="32"/>
      <c r="B4798" s="32"/>
    </row>
    <row r="4799" spans="1:2" x14ac:dyDescent="0.35">
      <c r="A4799" s="32"/>
      <c r="B4799" s="32"/>
    </row>
    <row r="4800" spans="1:2" x14ac:dyDescent="0.35">
      <c r="A4800" s="32"/>
      <c r="B4800" s="32"/>
    </row>
    <row r="4801" spans="1:2" x14ac:dyDescent="0.35">
      <c r="A4801" s="32"/>
      <c r="B4801" s="32"/>
    </row>
    <row r="4802" spans="1:2" x14ac:dyDescent="0.35">
      <c r="A4802" s="32"/>
      <c r="B4802" s="32"/>
    </row>
    <row r="4803" spans="1:2" x14ac:dyDescent="0.35">
      <c r="A4803" s="32"/>
      <c r="B4803" s="32"/>
    </row>
    <row r="4804" spans="1:2" x14ac:dyDescent="0.35">
      <c r="A4804" s="32"/>
      <c r="B4804" s="32"/>
    </row>
    <row r="4805" spans="1:2" x14ac:dyDescent="0.35">
      <c r="A4805" s="32"/>
      <c r="B4805" s="32"/>
    </row>
    <row r="4806" spans="1:2" x14ac:dyDescent="0.35">
      <c r="A4806" s="32"/>
      <c r="B4806" s="32"/>
    </row>
    <row r="4807" spans="1:2" x14ac:dyDescent="0.35">
      <c r="A4807" s="32"/>
      <c r="B4807" s="32"/>
    </row>
    <row r="4808" spans="1:2" x14ac:dyDescent="0.35">
      <c r="A4808" s="32"/>
      <c r="B4808" s="32"/>
    </row>
    <row r="4809" spans="1:2" x14ac:dyDescent="0.35">
      <c r="A4809" s="32"/>
      <c r="B4809" s="32"/>
    </row>
    <row r="4810" spans="1:2" x14ac:dyDescent="0.35">
      <c r="A4810" s="32"/>
      <c r="B4810" s="32"/>
    </row>
    <row r="4811" spans="1:2" x14ac:dyDescent="0.35">
      <c r="A4811" s="32"/>
      <c r="B4811" s="32"/>
    </row>
    <row r="4812" spans="1:2" x14ac:dyDescent="0.35">
      <c r="A4812" s="32"/>
      <c r="B4812" s="32"/>
    </row>
    <row r="4813" spans="1:2" x14ac:dyDescent="0.35">
      <c r="A4813" s="32"/>
      <c r="B4813" s="32"/>
    </row>
    <row r="4814" spans="1:2" x14ac:dyDescent="0.35">
      <c r="A4814" s="32"/>
      <c r="B4814" s="32"/>
    </row>
    <row r="4815" spans="1:2" x14ac:dyDescent="0.35">
      <c r="A4815" s="32"/>
      <c r="B4815" s="32"/>
    </row>
    <row r="4816" spans="1:2" x14ac:dyDescent="0.35">
      <c r="A4816" s="32"/>
      <c r="B4816" s="32"/>
    </row>
    <row r="4817" spans="1:2" x14ac:dyDescent="0.35">
      <c r="A4817" s="32"/>
      <c r="B4817" s="32"/>
    </row>
    <row r="4818" spans="1:2" x14ac:dyDescent="0.35">
      <c r="A4818" s="32"/>
      <c r="B4818" s="32"/>
    </row>
    <row r="4819" spans="1:2" x14ac:dyDescent="0.35">
      <c r="A4819" s="32"/>
      <c r="B4819" s="32"/>
    </row>
    <row r="4820" spans="1:2" x14ac:dyDescent="0.35">
      <c r="A4820" s="32"/>
      <c r="B4820" s="32"/>
    </row>
    <row r="4821" spans="1:2" x14ac:dyDescent="0.35">
      <c r="A4821" s="32"/>
      <c r="B4821" s="32"/>
    </row>
    <row r="4822" spans="1:2" x14ac:dyDescent="0.35">
      <c r="A4822" s="32"/>
      <c r="B4822" s="32"/>
    </row>
    <row r="4823" spans="1:2" x14ac:dyDescent="0.35">
      <c r="A4823" s="32"/>
      <c r="B4823" s="32"/>
    </row>
    <row r="4824" spans="1:2" x14ac:dyDescent="0.35">
      <c r="A4824" s="32"/>
      <c r="B4824" s="32"/>
    </row>
    <row r="4825" spans="1:2" x14ac:dyDescent="0.35">
      <c r="A4825" s="32"/>
      <c r="B4825" s="32"/>
    </row>
    <row r="4826" spans="1:2" x14ac:dyDescent="0.35">
      <c r="A4826" s="32"/>
      <c r="B4826" s="32"/>
    </row>
    <row r="4827" spans="1:2" x14ac:dyDescent="0.35">
      <c r="A4827" s="32"/>
      <c r="B4827" s="32"/>
    </row>
    <row r="4828" spans="1:2" x14ac:dyDescent="0.35">
      <c r="A4828" s="32"/>
      <c r="B4828" s="32"/>
    </row>
    <row r="4829" spans="1:2" x14ac:dyDescent="0.35">
      <c r="A4829" s="32"/>
      <c r="B4829" s="32"/>
    </row>
    <row r="4830" spans="1:2" x14ac:dyDescent="0.35">
      <c r="A4830" s="32"/>
      <c r="B4830" s="32"/>
    </row>
    <row r="4831" spans="1:2" x14ac:dyDescent="0.35">
      <c r="A4831" s="32"/>
      <c r="B4831" s="32"/>
    </row>
    <row r="4832" spans="1:2" x14ac:dyDescent="0.35">
      <c r="A4832" s="32"/>
      <c r="B4832" s="32"/>
    </row>
    <row r="4833" spans="1:2" x14ac:dyDescent="0.35">
      <c r="A4833" s="32"/>
      <c r="B4833" s="32"/>
    </row>
    <row r="4834" spans="1:2" x14ac:dyDescent="0.35">
      <c r="A4834" s="32"/>
      <c r="B4834" s="32"/>
    </row>
    <row r="4835" spans="1:2" x14ac:dyDescent="0.35">
      <c r="A4835" s="32"/>
      <c r="B4835" s="32"/>
    </row>
    <row r="4836" spans="1:2" x14ac:dyDescent="0.35">
      <c r="A4836" s="32"/>
      <c r="B4836" s="32"/>
    </row>
    <row r="4837" spans="1:2" x14ac:dyDescent="0.35">
      <c r="A4837" s="32"/>
      <c r="B4837" s="32"/>
    </row>
    <row r="4838" spans="1:2" x14ac:dyDescent="0.35">
      <c r="A4838" s="32"/>
      <c r="B4838" s="32"/>
    </row>
    <row r="4839" spans="1:2" x14ac:dyDescent="0.35">
      <c r="A4839" s="32"/>
      <c r="B4839" s="32"/>
    </row>
    <row r="4840" spans="1:2" x14ac:dyDescent="0.35">
      <c r="A4840" s="32"/>
      <c r="B4840" s="32"/>
    </row>
    <row r="4841" spans="1:2" x14ac:dyDescent="0.35">
      <c r="A4841" s="32"/>
      <c r="B4841" s="32"/>
    </row>
    <row r="4842" spans="1:2" x14ac:dyDescent="0.35">
      <c r="A4842" s="32"/>
      <c r="B4842" s="32"/>
    </row>
    <row r="4843" spans="1:2" x14ac:dyDescent="0.35">
      <c r="A4843" s="32"/>
      <c r="B4843" s="32"/>
    </row>
    <row r="4844" spans="1:2" x14ac:dyDescent="0.35">
      <c r="A4844" s="32"/>
      <c r="B4844" s="32"/>
    </row>
    <row r="4845" spans="1:2" x14ac:dyDescent="0.35">
      <c r="A4845" s="32"/>
      <c r="B4845" s="32"/>
    </row>
    <row r="4846" spans="1:2" x14ac:dyDescent="0.35">
      <c r="A4846" s="32"/>
      <c r="B4846" s="32"/>
    </row>
    <row r="4847" spans="1:2" x14ac:dyDescent="0.35">
      <c r="A4847" s="32"/>
      <c r="B4847" s="32"/>
    </row>
    <row r="4848" spans="1:2" x14ac:dyDescent="0.35">
      <c r="A4848" s="32"/>
      <c r="B4848" s="32"/>
    </row>
    <row r="4849" spans="1:2" x14ac:dyDescent="0.35">
      <c r="A4849" s="32"/>
      <c r="B4849" s="32"/>
    </row>
    <row r="4850" spans="1:2" x14ac:dyDescent="0.35">
      <c r="A4850" s="32"/>
      <c r="B4850" s="32"/>
    </row>
    <row r="4851" spans="1:2" x14ac:dyDescent="0.35">
      <c r="A4851" s="32"/>
      <c r="B4851" s="32"/>
    </row>
    <row r="4852" spans="1:2" x14ac:dyDescent="0.35">
      <c r="A4852" s="32"/>
      <c r="B4852" s="32"/>
    </row>
    <row r="4853" spans="1:2" x14ac:dyDescent="0.35">
      <c r="A4853" s="32"/>
      <c r="B4853" s="32"/>
    </row>
    <row r="4854" spans="1:2" x14ac:dyDescent="0.35">
      <c r="A4854" s="32"/>
      <c r="B4854" s="32"/>
    </row>
    <row r="4855" spans="1:2" x14ac:dyDescent="0.35">
      <c r="A4855" s="32"/>
      <c r="B4855" s="32"/>
    </row>
    <row r="4856" spans="1:2" x14ac:dyDescent="0.35">
      <c r="A4856" s="32"/>
      <c r="B4856" s="32"/>
    </row>
    <row r="4857" spans="1:2" x14ac:dyDescent="0.35">
      <c r="A4857" s="32"/>
      <c r="B4857" s="32"/>
    </row>
    <row r="4858" spans="1:2" x14ac:dyDescent="0.35">
      <c r="A4858" s="32"/>
      <c r="B4858" s="32"/>
    </row>
    <row r="4859" spans="1:2" x14ac:dyDescent="0.35">
      <c r="A4859" s="32"/>
      <c r="B4859" s="32"/>
    </row>
    <row r="4860" spans="1:2" x14ac:dyDescent="0.35">
      <c r="A4860" s="32"/>
      <c r="B4860" s="32"/>
    </row>
    <row r="4861" spans="1:2" x14ac:dyDescent="0.35">
      <c r="A4861" s="32"/>
      <c r="B4861" s="32"/>
    </row>
    <row r="4862" spans="1:2" x14ac:dyDescent="0.35">
      <c r="A4862" s="32"/>
      <c r="B4862" s="32"/>
    </row>
    <row r="4863" spans="1:2" x14ac:dyDescent="0.35">
      <c r="A4863" s="32"/>
      <c r="B4863" s="32"/>
    </row>
    <row r="4864" spans="1:2" x14ac:dyDescent="0.35">
      <c r="A4864" s="32"/>
      <c r="B4864" s="32"/>
    </row>
    <row r="4865" spans="1:2" x14ac:dyDescent="0.35">
      <c r="A4865" s="32"/>
      <c r="B4865" s="32"/>
    </row>
    <row r="4866" spans="1:2" x14ac:dyDescent="0.35">
      <c r="A4866" s="32"/>
      <c r="B4866" s="32"/>
    </row>
    <row r="4867" spans="1:2" x14ac:dyDescent="0.35">
      <c r="A4867" s="32"/>
      <c r="B4867" s="32"/>
    </row>
    <row r="4868" spans="1:2" x14ac:dyDescent="0.35">
      <c r="A4868" s="32"/>
      <c r="B4868" s="32"/>
    </row>
    <row r="4869" spans="1:2" x14ac:dyDescent="0.35">
      <c r="A4869" s="32"/>
      <c r="B4869" s="32"/>
    </row>
    <row r="4870" spans="1:2" x14ac:dyDescent="0.35">
      <c r="A4870" s="32"/>
      <c r="B4870" s="32"/>
    </row>
    <row r="4871" spans="1:2" x14ac:dyDescent="0.35">
      <c r="A4871" s="32"/>
      <c r="B4871" s="32"/>
    </row>
    <row r="4872" spans="1:2" x14ac:dyDescent="0.35">
      <c r="A4872" s="32"/>
      <c r="B4872" s="32"/>
    </row>
    <row r="4873" spans="1:2" x14ac:dyDescent="0.35">
      <c r="A4873" s="32"/>
      <c r="B4873" s="32"/>
    </row>
    <row r="4874" spans="1:2" x14ac:dyDescent="0.35">
      <c r="A4874" s="32"/>
      <c r="B4874" s="32"/>
    </row>
    <row r="4875" spans="1:2" x14ac:dyDescent="0.35">
      <c r="A4875" s="32"/>
      <c r="B4875" s="32"/>
    </row>
    <row r="4876" spans="1:2" x14ac:dyDescent="0.35">
      <c r="A4876" s="32"/>
      <c r="B4876" s="32"/>
    </row>
    <row r="4877" spans="1:2" x14ac:dyDescent="0.35">
      <c r="A4877" s="32"/>
      <c r="B4877" s="32"/>
    </row>
    <row r="4878" spans="1:2" x14ac:dyDescent="0.35">
      <c r="A4878" s="32"/>
      <c r="B4878" s="32"/>
    </row>
    <row r="4879" spans="1:2" x14ac:dyDescent="0.35">
      <c r="A4879" s="32"/>
      <c r="B4879" s="32"/>
    </row>
    <row r="4880" spans="1:2" x14ac:dyDescent="0.35">
      <c r="A4880" s="32"/>
      <c r="B4880" s="32"/>
    </row>
    <row r="4881" spans="1:2" x14ac:dyDescent="0.35">
      <c r="A4881" s="32"/>
      <c r="B4881" s="32"/>
    </row>
    <row r="4882" spans="1:2" x14ac:dyDescent="0.35">
      <c r="A4882" s="32"/>
      <c r="B4882" s="32"/>
    </row>
    <row r="4883" spans="1:2" x14ac:dyDescent="0.35">
      <c r="A4883" s="32"/>
      <c r="B4883" s="32"/>
    </row>
    <row r="4884" spans="1:2" x14ac:dyDescent="0.35">
      <c r="A4884" s="32"/>
      <c r="B4884" s="32"/>
    </row>
    <row r="4885" spans="1:2" x14ac:dyDescent="0.35">
      <c r="A4885" s="32"/>
      <c r="B4885" s="32"/>
    </row>
    <row r="4886" spans="1:2" x14ac:dyDescent="0.35">
      <c r="A4886" s="32"/>
      <c r="B4886" s="32"/>
    </row>
    <row r="4887" spans="1:2" x14ac:dyDescent="0.35">
      <c r="A4887" s="32"/>
      <c r="B4887" s="32"/>
    </row>
    <row r="4888" spans="1:2" x14ac:dyDescent="0.35">
      <c r="A4888" s="32"/>
      <c r="B4888" s="32"/>
    </row>
    <row r="4889" spans="1:2" x14ac:dyDescent="0.35">
      <c r="A4889" s="32"/>
      <c r="B4889" s="32"/>
    </row>
    <row r="4890" spans="1:2" x14ac:dyDescent="0.35">
      <c r="A4890" s="32"/>
      <c r="B4890" s="32"/>
    </row>
    <row r="4891" spans="1:2" x14ac:dyDescent="0.35">
      <c r="A4891" s="32"/>
      <c r="B4891" s="32"/>
    </row>
    <row r="4892" spans="1:2" x14ac:dyDescent="0.35">
      <c r="A4892" s="32"/>
      <c r="B4892" s="32"/>
    </row>
    <row r="4893" spans="1:2" x14ac:dyDescent="0.35">
      <c r="A4893" s="32"/>
      <c r="B4893" s="32"/>
    </row>
    <row r="4894" spans="1:2" x14ac:dyDescent="0.35">
      <c r="A4894" s="32"/>
      <c r="B4894" s="32"/>
    </row>
    <row r="4895" spans="1:2" x14ac:dyDescent="0.35">
      <c r="A4895" s="32"/>
      <c r="B4895" s="32"/>
    </row>
    <row r="4896" spans="1:2" x14ac:dyDescent="0.35">
      <c r="A4896" s="32"/>
      <c r="B4896" s="32"/>
    </row>
    <row r="4897" spans="1:2" x14ac:dyDescent="0.35">
      <c r="A4897" s="32"/>
      <c r="B4897" s="32"/>
    </row>
    <row r="4898" spans="1:2" x14ac:dyDescent="0.35">
      <c r="A4898" s="32"/>
      <c r="B4898" s="32"/>
    </row>
    <row r="4899" spans="1:2" x14ac:dyDescent="0.35">
      <c r="A4899" s="32"/>
      <c r="B4899" s="32"/>
    </row>
    <row r="4900" spans="1:2" x14ac:dyDescent="0.35">
      <c r="A4900" s="32"/>
      <c r="B4900" s="32"/>
    </row>
    <row r="4901" spans="1:2" x14ac:dyDescent="0.35">
      <c r="A4901" s="32"/>
      <c r="B4901" s="32"/>
    </row>
    <row r="4902" spans="1:2" x14ac:dyDescent="0.35">
      <c r="A4902" s="32"/>
      <c r="B4902" s="32"/>
    </row>
    <row r="4903" spans="1:2" x14ac:dyDescent="0.35">
      <c r="A4903" s="32"/>
      <c r="B4903" s="32"/>
    </row>
    <row r="4904" spans="1:2" x14ac:dyDescent="0.35">
      <c r="A4904" s="32"/>
      <c r="B4904" s="32"/>
    </row>
    <row r="4905" spans="1:2" x14ac:dyDescent="0.35">
      <c r="A4905" s="32"/>
      <c r="B4905" s="32"/>
    </row>
    <row r="4906" spans="1:2" x14ac:dyDescent="0.35">
      <c r="A4906" s="32"/>
      <c r="B4906" s="32"/>
    </row>
    <row r="4907" spans="1:2" x14ac:dyDescent="0.35">
      <c r="A4907" s="32"/>
      <c r="B4907" s="32"/>
    </row>
    <row r="4908" spans="1:2" x14ac:dyDescent="0.35">
      <c r="A4908" s="32"/>
      <c r="B4908" s="32"/>
    </row>
    <row r="4909" spans="1:2" x14ac:dyDescent="0.35">
      <c r="A4909" s="32"/>
      <c r="B4909" s="32"/>
    </row>
    <row r="4910" spans="1:2" x14ac:dyDescent="0.35">
      <c r="A4910" s="32"/>
      <c r="B4910" s="32"/>
    </row>
    <row r="4911" spans="1:2" x14ac:dyDescent="0.35">
      <c r="A4911" s="32"/>
      <c r="B4911" s="32"/>
    </row>
    <row r="4912" spans="1:2" x14ac:dyDescent="0.35">
      <c r="A4912" s="32"/>
      <c r="B4912" s="32"/>
    </row>
    <row r="4913" spans="1:2" x14ac:dyDescent="0.35">
      <c r="A4913" s="32"/>
      <c r="B4913" s="32"/>
    </row>
    <row r="4914" spans="1:2" x14ac:dyDescent="0.35">
      <c r="A4914" s="32"/>
      <c r="B4914" s="32"/>
    </row>
    <row r="4915" spans="1:2" x14ac:dyDescent="0.35">
      <c r="A4915" s="32"/>
      <c r="B4915" s="32"/>
    </row>
    <row r="4916" spans="1:2" x14ac:dyDescent="0.35">
      <c r="A4916" s="32"/>
      <c r="B4916" s="32"/>
    </row>
    <row r="4917" spans="1:2" x14ac:dyDescent="0.35">
      <c r="A4917" s="32"/>
      <c r="B4917" s="32"/>
    </row>
    <row r="4918" spans="1:2" x14ac:dyDescent="0.35">
      <c r="A4918" s="32"/>
      <c r="B4918" s="32"/>
    </row>
    <row r="4919" spans="1:2" x14ac:dyDescent="0.35">
      <c r="A4919" s="32"/>
      <c r="B4919" s="32"/>
    </row>
    <row r="4920" spans="1:2" x14ac:dyDescent="0.35">
      <c r="A4920" s="32"/>
      <c r="B4920" s="32"/>
    </row>
    <row r="4921" spans="1:2" x14ac:dyDescent="0.35">
      <c r="A4921" s="32"/>
      <c r="B4921" s="32"/>
    </row>
    <row r="4922" spans="1:2" x14ac:dyDescent="0.35">
      <c r="A4922" s="32"/>
      <c r="B4922" s="32"/>
    </row>
    <row r="4923" spans="1:2" x14ac:dyDescent="0.35">
      <c r="A4923" s="32"/>
      <c r="B4923" s="32"/>
    </row>
    <row r="4924" spans="1:2" x14ac:dyDescent="0.35">
      <c r="A4924" s="32"/>
      <c r="B4924" s="32"/>
    </row>
    <row r="4925" spans="1:2" x14ac:dyDescent="0.35">
      <c r="A4925" s="32"/>
      <c r="B4925" s="32"/>
    </row>
    <row r="4926" spans="1:2" x14ac:dyDescent="0.35">
      <c r="A4926" s="32"/>
      <c r="B4926" s="32"/>
    </row>
    <row r="4927" spans="1:2" x14ac:dyDescent="0.35">
      <c r="A4927" s="32"/>
      <c r="B4927" s="32"/>
    </row>
    <row r="4928" spans="1:2" x14ac:dyDescent="0.35">
      <c r="A4928" s="32"/>
      <c r="B4928" s="32"/>
    </row>
    <row r="4929" spans="1:2" x14ac:dyDescent="0.35">
      <c r="A4929" s="32"/>
      <c r="B4929" s="32"/>
    </row>
    <row r="4930" spans="1:2" x14ac:dyDescent="0.35">
      <c r="A4930" s="32"/>
      <c r="B4930" s="32"/>
    </row>
    <row r="4931" spans="1:2" x14ac:dyDescent="0.35">
      <c r="A4931" s="32"/>
      <c r="B4931" s="32"/>
    </row>
    <row r="4932" spans="1:2" x14ac:dyDescent="0.35">
      <c r="A4932" s="32"/>
      <c r="B4932" s="32"/>
    </row>
    <row r="4933" spans="1:2" x14ac:dyDescent="0.35">
      <c r="A4933" s="32"/>
      <c r="B4933" s="32"/>
    </row>
    <row r="4934" spans="1:2" x14ac:dyDescent="0.35">
      <c r="A4934" s="32"/>
      <c r="B4934" s="32"/>
    </row>
    <row r="4935" spans="1:2" x14ac:dyDescent="0.35">
      <c r="A4935" s="32"/>
      <c r="B4935" s="32"/>
    </row>
    <row r="4936" spans="1:2" x14ac:dyDescent="0.35">
      <c r="A4936" s="32"/>
      <c r="B4936" s="32"/>
    </row>
    <row r="4937" spans="1:2" x14ac:dyDescent="0.35">
      <c r="A4937" s="32"/>
      <c r="B4937" s="32"/>
    </row>
    <row r="4938" spans="1:2" x14ac:dyDescent="0.35">
      <c r="A4938" s="32"/>
      <c r="B4938" s="32"/>
    </row>
    <row r="4939" spans="1:2" x14ac:dyDescent="0.35">
      <c r="A4939" s="32"/>
      <c r="B4939" s="32"/>
    </row>
    <row r="4940" spans="1:2" x14ac:dyDescent="0.35">
      <c r="A4940" s="32"/>
      <c r="B4940" s="32"/>
    </row>
    <row r="4941" spans="1:2" x14ac:dyDescent="0.35">
      <c r="A4941" s="32"/>
      <c r="B4941" s="32"/>
    </row>
    <row r="4942" spans="1:2" x14ac:dyDescent="0.35">
      <c r="A4942" s="32"/>
      <c r="B4942" s="32"/>
    </row>
    <row r="4943" spans="1:2" x14ac:dyDescent="0.35">
      <c r="A4943" s="32"/>
      <c r="B4943" s="32"/>
    </row>
    <row r="4944" spans="1:2" x14ac:dyDescent="0.35">
      <c r="A4944" s="32"/>
      <c r="B4944" s="32"/>
    </row>
    <row r="4945" spans="1:2" x14ac:dyDescent="0.35">
      <c r="A4945" s="32"/>
      <c r="B4945" s="32"/>
    </row>
    <row r="4946" spans="1:2" x14ac:dyDescent="0.35">
      <c r="A4946" s="32"/>
      <c r="B4946" s="32"/>
    </row>
    <row r="4947" spans="1:2" x14ac:dyDescent="0.35">
      <c r="A4947" s="32"/>
      <c r="B4947" s="32"/>
    </row>
    <row r="4948" spans="1:2" x14ac:dyDescent="0.35">
      <c r="A4948" s="32"/>
      <c r="B4948" s="32"/>
    </row>
    <row r="4949" spans="1:2" x14ac:dyDescent="0.35">
      <c r="A4949" s="32"/>
      <c r="B4949" s="32"/>
    </row>
    <row r="4950" spans="1:2" x14ac:dyDescent="0.35">
      <c r="A4950" s="32"/>
      <c r="B4950" s="32"/>
    </row>
    <row r="4951" spans="1:2" x14ac:dyDescent="0.35">
      <c r="A4951" s="32"/>
      <c r="B4951" s="32"/>
    </row>
    <row r="4952" spans="1:2" x14ac:dyDescent="0.35">
      <c r="A4952" s="32"/>
      <c r="B4952" s="32"/>
    </row>
    <row r="4953" spans="1:2" x14ac:dyDescent="0.35">
      <c r="A4953" s="32"/>
      <c r="B4953" s="32"/>
    </row>
    <row r="4954" spans="1:2" x14ac:dyDescent="0.35">
      <c r="A4954" s="32"/>
      <c r="B4954" s="32"/>
    </row>
    <row r="4955" spans="1:2" x14ac:dyDescent="0.35">
      <c r="A4955" s="32"/>
      <c r="B4955" s="32"/>
    </row>
    <row r="4956" spans="1:2" x14ac:dyDescent="0.35">
      <c r="A4956" s="32"/>
      <c r="B4956" s="32"/>
    </row>
    <row r="4957" spans="1:2" x14ac:dyDescent="0.35">
      <c r="A4957" s="32"/>
      <c r="B4957" s="32"/>
    </row>
    <row r="4958" spans="1:2" x14ac:dyDescent="0.35">
      <c r="A4958" s="32"/>
      <c r="B4958" s="32"/>
    </row>
    <row r="4959" spans="1:2" x14ac:dyDescent="0.35">
      <c r="A4959" s="32"/>
      <c r="B4959" s="32"/>
    </row>
    <row r="4960" spans="1:2" x14ac:dyDescent="0.35">
      <c r="A4960" s="32"/>
      <c r="B4960" s="32"/>
    </row>
    <row r="4961" spans="1:2" x14ac:dyDescent="0.35">
      <c r="A4961" s="32"/>
      <c r="B4961" s="32"/>
    </row>
    <row r="4962" spans="1:2" x14ac:dyDescent="0.35">
      <c r="A4962" s="32"/>
      <c r="B4962" s="32"/>
    </row>
    <row r="4963" spans="1:2" x14ac:dyDescent="0.35">
      <c r="A4963" s="32"/>
      <c r="B4963" s="32"/>
    </row>
    <row r="4964" spans="1:2" x14ac:dyDescent="0.35">
      <c r="A4964" s="32"/>
      <c r="B4964" s="32"/>
    </row>
    <row r="4965" spans="1:2" x14ac:dyDescent="0.35">
      <c r="A4965" s="32"/>
      <c r="B4965" s="32"/>
    </row>
    <row r="4966" spans="1:2" x14ac:dyDescent="0.35">
      <c r="A4966" s="32"/>
      <c r="B4966" s="32"/>
    </row>
    <row r="4967" spans="1:2" x14ac:dyDescent="0.35">
      <c r="A4967" s="32"/>
      <c r="B4967" s="32"/>
    </row>
    <row r="4968" spans="1:2" x14ac:dyDescent="0.35">
      <c r="A4968" s="32"/>
      <c r="B4968" s="32"/>
    </row>
    <row r="4969" spans="1:2" x14ac:dyDescent="0.35">
      <c r="A4969" s="32"/>
      <c r="B4969" s="32"/>
    </row>
    <row r="4970" spans="1:2" x14ac:dyDescent="0.35">
      <c r="A4970" s="32"/>
      <c r="B4970" s="32"/>
    </row>
    <row r="4971" spans="1:2" x14ac:dyDescent="0.35">
      <c r="A4971" s="32"/>
      <c r="B4971" s="32"/>
    </row>
    <row r="4972" spans="1:2" x14ac:dyDescent="0.35">
      <c r="A4972" s="32"/>
      <c r="B4972" s="32"/>
    </row>
    <row r="4973" spans="1:2" x14ac:dyDescent="0.35">
      <c r="A4973" s="32"/>
      <c r="B4973" s="32"/>
    </row>
    <row r="4974" spans="1:2" x14ac:dyDescent="0.35">
      <c r="A4974" s="32"/>
      <c r="B4974" s="32"/>
    </row>
    <row r="4975" spans="1:2" x14ac:dyDescent="0.35">
      <c r="A4975" s="32"/>
      <c r="B4975" s="32"/>
    </row>
    <row r="4976" spans="1:2" x14ac:dyDescent="0.35">
      <c r="A4976" s="32"/>
      <c r="B4976" s="32"/>
    </row>
    <row r="4977" spans="1:2" x14ac:dyDescent="0.35">
      <c r="A4977" s="32"/>
      <c r="B4977" s="32"/>
    </row>
    <row r="4978" spans="1:2" x14ac:dyDescent="0.35">
      <c r="A4978" s="32"/>
      <c r="B4978" s="32"/>
    </row>
    <row r="4979" spans="1:2" x14ac:dyDescent="0.35">
      <c r="A4979" s="32"/>
      <c r="B4979" s="32"/>
    </row>
    <row r="4980" spans="1:2" x14ac:dyDescent="0.35">
      <c r="A4980" s="32"/>
      <c r="B4980" s="32"/>
    </row>
    <row r="4981" spans="1:2" x14ac:dyDescent="0.35">
      <c r="A4981" s="32"/>
      <c r="B4981" s="32"/>
    </row>
    <row r="4982" spans="1:2" x14ac:dyDescent="0.35">
      <c r="A4982" s="32"/>
      <c r="B4982" s="32"/>
    </row>
    <row r="4983" spans="1:2" x14ac:dyDescent="0.35">
      <c r="A4983" s="32"/>
      <c r="B4983" s="32"/>
    </row>
    <row r="4984" spans="1:2" x14ac:dyDescent="0.35">
      <c r="A4984" s="32"/>
      <c r="B4984" s="32"/>
    </row>
    <row r="4985" spans="1:2" x14ac:dyDescent="0.35">
      <c r="A4985" s="32"/>
      <c r="B4985" s="32"/>
    </row>
    <row r="4986" spans="1:2" x14ac:dyDescent="0.35">
      <c r="A4986" s="32"/>
      <c r="B4986" s="32"/>
    </row>
    <row r="4987" spans="1:2" x14ac:dyDescent="0.35">
      <c r="A4987" s="32"/>
      <c r="B4987" s="32"/>
    </row>
    <row r="4988" spans="1:2" x14ac:dyDescent="0.35">
      <c r="A4988" s="32"/>
      <c r="B4988" s="32"/>
    </row>
    <row r="4989" spans="1:2" x14ac:dyDescent="0.35">
      <c r="A4989" s="32"/>
      <c r="B4989" s="32"/>
    </row>
    <row r="4990" spans="1:2" x14ac:dyDescent="0.35">
      <c r="A4990" s="32"/>
      <c r="B4990" s="32"/>
    </row>
    <row r="4991" spans="1:2" x14ac:dyDescent="0.35">
      <c r="A4991" s="32"/>
      <c r="B4991" s="32"/>
    </row>
    <row r="4992" spans="1:2" x14ac:dyDescent="0.35">
      <c r="A4992" s="32"/>
      <c r="B4992" s="32"/>
    </row>
    <row r="4993" spans="1:2" x14ac:dyDescent="0.35">
      <c r="A4993" s="32"/>
      <c r="B4993" s="32"/>
    </row>
    <row r="4994" spans="1:2" x14ac:dyDescent="0.35">
      <c r="A4994" s="32"/>
      <c r="B4994" s="32"/>
    </row>
    <row r="4995" spans="1:2" x14ac:dyDescent="0.35">
      <c r="A4995" s="32"/>
      <c r="B4995" s="32"/>
    </row>
    <row r="4996" spans="1:2" x14ac:dyDescent="0.35">
      <c r="A4996" s="32"/>
      <c r="B4996" s="32"/>
    </row>
    <row r="4997" spans="1:2" x14ac:dyDescent="0.35">
      <c r="A4997" s="32"/>
      <c r="B4997" s="32"/>
    </row>
    <row r="4998" spans="1:2" x14ac:dyDescent="0.35">
      <c r="A4998" s="32"/>
      <c r="B4998" s="32"/>
    </row>
    <row r="4999" spans="1:2" x14ac:dyDescent="0.35">
      <c r="A4999" s="32"/>
      <c r="B4999" s="32"/>
    </row>
    <row r="5000" spans="1:2" x14ac:dyDescent="0.35">
      <c r="A5000" s="32"/>
      <c r="B5000" s="32"/>
    </row>
    <row r="5001" spans="1:2" x14ac:dyDescent="0.35">
      <c r="A5001" s="32"/>
      <c r="B5001" s="32"/>
    </row>
    <row r="5002" spans="1:2" x14ac:dyDescent="0.35">
      <c r="A5002" s="32"/>
      <c r="B5002" s="32"/>
    </row>
    <row r="5003" spans="1:2" x14ac:dyDescent="0.35">
      <c r="A5003" s="32"/>
      <c r="B5003" s="32"/>
    </row>
    <row r="5004" spans="1:2" x14ac:dyDescent="0.35">
      <c r="A5004" s="32"/>
      <c r="B5004" s="32"/>
    </row>
    <row r="5005" spans="1:2" x14ac:dyDescent="0.35">
      <c r="A5005" s="32"/>
      <c r="B5005" s="32"/>
    </row>
    <row r="5006" spans="1:2" x14ac:dyDescent="0.35">
      <c r="A5006" s="32"/>
      <c r="B5006" s="32"/>
    </row>
    <row r="5007" spans="1:2" x14ac:dyDescent="0.35">
      <c r="A5007" s="32"/>
      <c r="B5007" s="32"/>
    </row>
    <row r="5008" spans="1:2" x14ac:dyDescent="0.35">
      <c r="A5008" s="32"/>
      <c r="B5008" s="32"/>
    </row>
    <row r="5009" spans="1:2" x14ac:dyDescent="0.35">
      <c r="A5009" s="32"/>
      <c r="B5009" s="32"/>
    </row>
    <row r="5010" spans="1:2" x14ac:dyDescent="0.35">
      <c r="A5010" s="32"/>
      <c r="B5010" s="32"/>
    </row>
    <row r="5011" spans="1:2" x14ac:dyDescent="0.35">
      <c r="A5011" s="32"/>
      <c r="B5011" s="32"/>
    </row>
    <row r="5012" spans="1:2" x14ac:dyDescent="0.35">
      <c r="A5012" s="32"/>
      <c r="B5012" s="32"/>
    </row>
    <row r="5013" spans="1:2" x14ac:dyDescent="0.35">
      <c r="A5013" s="32"/>
      <c r="B5013" s="32"/>
    </row>
    <row r="5014" spans="1:2" x14ac:dyDescent="0.35">
      <c r="A5014" s="32"/>
      <c r="B5014" s="32"/>
    </row>
    <row r="5015" spans="1:2" x14ac:dyDescent="0.35">
      <c r="A5015" s="32"/>
      <c r="B5015" s="32"/>
    </row>
    <row r="5016" spans="1:2" x14ac:dyDescent="0.35">
      <c r="A5016" s="32"/>
      <c r="B5016" s="32"/>
    </row>
    <row r="5017" spans="1:2" x14ac:dyDescent="0.35">
      <c r="A5017" s="32"/>
      <c r="B5017" s="32"/>
    </row>
    <row r="5018" spans="1:2" x14ac:dyDescent="0.35">
      <c r="A5018" s="32"/>
      <c r="B5018" s="32"/>
    </row>
    <row r="5019" spans="1:2" x14ac:dyDescent="0.35">
      <c r="A5019" s="32"/>
      <c r="B5019" s="32"/>
    </row>
    <row r="5020" spans="1:2" x14ac:dyDescent="0.35">
      <c r="A5020" s="32"/>
      <c r="B5020" s="32"/>
    </row>
    <row r="5021" spans="1:2" x14ac:dyDescent="0.35">
      <c r="A5021" s="32"/>
      <c r="B5021" s="32"/>
    </row>
    <row r="5022" spans="1:2" x14ac:dyDescent="0.35">
      <c r="A5022" s="32"/>
      <c r="B5022" s="32"/>
    </row>
    <row r="5023" spans="1:2" x14ac:dyDescent="0.35">
      <c r="A5023" s="32"/>
      <c r="B5023" s="32"/>
    </row>
    <row r="5024" spans="1:2" x14ac:dyDescent="0.35">
      <c r="A5024" s="32"/>
      <c r="B5024" s="32"/>
    </row>
    <row r="5025" spans="1:2" x14ac:dyDescent="0.35">
      <c r="A5025" s="32"/>
      <c r="B5025" s="32"/>
    </row>
    <row r="5026" spans="1:2" x14ac:dyDescent="0.35">
      <c r="A5026" s="32"/>
      <c r="B5026" s="32"/>
    </row>
    <row r="5027" spans="1:2" x14ac:dyDescent="0.35">
      <c r="A5027" s="32"/>
      <c r="B5027" s="32"/>
    </row>
    <row r="5028" spans="1:2" x14ac:dyDescent="0.35">
      <c r="A5028" s="32"/>
      <c r="B5028" s="32"/>
    </row>
    <row r="5029" spans="1:2" x14ac:dyDescent="0.35">
      <c r="A5029" s="32"/>
      <c r="B5029" s="32"/>
    </row>
    <row r="5030" spans="1:2" x14ac:dyDescent="0.35">
      <c r="A5030" s="32"/>
      <c r="B5030" s="32"/>
    </row>
    <row r="5031" spans="1:2" x14ac:dyDescent="0.35">
      <c r="A5031" s="32"/>
      <c r="B5031" s="32"/>
    </row>
    <row r="5032" spans="1:2" x14ac:dyDescent="0.35">
      <c r="A5032" s="32"/>
      <c r="B5032" s="32"/>
    </row>
    <row r="5033" spans="1:2" x14ac:dyDescent="0.35">
      <c r="A5033" s="32"/>
      <c r="B5033" s="32"/>
    </row>
    <row r="5034" spans="1:2" x14ac:dyDescent="0.35">
      <c r="A5034" s="32"/>
      <c r="B5034" s="32"/>
    </row>
    <row r="5035" spans="1:2" x14ac:dyDescent="0.35">
      <c r="A5035" s="32"/>
      <c r="B5035" s="32"/>
    </row>
    <row r="5036" spans="1:2" x14ac:dyDescent="0.35">
      <c r="A5036" s="32"/>
      <c r="B5036" s="32"/>
    </row>
    <row r="5037" spans="1:2" x14ac:dyDescent="0.35">
      <c r="A5037" s="32"/>
      <c r="B5037" s="32"/>
    </row>
    <row r="5038" spans="1:2" x14ac:dyDescent="0.35">
      <c r="A5038" s="32"/>
      <c r="B5038" s="32"/>
    </row>
    <row r="5039" spans="1:2" x14ac:dyDescent="0.35">
      <c r="A5039" s="32"/>
      <c r="B5039" s="32"/>
    </row>
    <row r="5040" spans="1:2" x14ac:dyDescent="0.35">
      <c r="A5040" s="32"/>
      <c r="B5040" s="32"/>
    </row>
    <row r="5041" spans="1:2" x14ac:dyDescent="0.35">
      <c r="A5041" s="32"/>
      <c r="B5041" s="32"/>
    </row>
    <row r="5042" spans="1:2" x14ac:dyDescent="0.35">
      <c r="A5042" s="32"/>
      <c r="B5042" s="32"/>
    </row>
    <row r="5043" spans="1:2" x14ac:dyDescent="0.35">
      <c r="A5043" s="32"/>
      <c r="B5043" s="32"/>
    </row>
    <row r="5044" spans="1:2" x14ac:dyDescent="0.35">
      <c r="A5044" s="32"/>
      <c r="B5044" s="32"/>
    </row>
    <row r="5045" spans="1:2" x14ac:dyDescent="0.35">
      <c r="A5045" s="32"/>
      <c r="B5045" s="32"/>
    </row>
    <row r="5046" spans="1:2" x14ac:dyDescent="0.35">
      <c r="A5046" s="32"/>
      <c r="B5046" s="32"/>
    </row>
    <row r="5047" spans="1:2" x14ac:dyDescent="0.35">
      <c r="A5047" s="32"/>
      <c r="B5047" s="32"/>
    </row>
    <row r="5048" spans="1:2" x14ac:dyDescent="0.35">
      <c r="A5048" s="32"/>
      <c r="B5048" s="32"/>
    </row>
    <row r="5049" spans="1:2" x14ac:dyDescent="0.35">
      <c r="A5049" s="32"/>
      <c r="B5049" s="32"/>
    </row>
    <row r="5050" spans="1:2" x14ac:dyDescent="0.35">
      <c r="A5050" s="32"/>
      <c r="B5050" s="32"/>
    </row>
    <row r="5051" spans="1:2" x14ac:dyDescent="0.35">
      <c r="A5051" s="32"/>
      <c r="B5051" s="32"/>
    </row>
    <row r="5052" spans="1:2" x14ac:dyDescent="0.35">
      <c r="A5052" s="32"/>
      <c r="B5052" s="32"/>
    </row>
    <row r="5053" spans="1:2" x14ac:dyDescent="0.35">
      <c r="A5053" s="32"/>
      <c r="B5053" s="32"/>
    </row>
    <row r="5054" spans="1:2" x14ac:dyDescent="0.35">
      <c r="A5054" s="32"/>
      <c r="B5054" s="32"/>
    </row>
    <row r="5055" spans="1:2" x14ac:dyDescent="0.35">
      <c r="A5055" s="32"/>
      <c r="B5055" s="32"/>
    </row>
    <row r="5056" spans="1:2" x14ac:dyDescent="0.35">
      <c r="A5056" s="32"/>
      <c r="B5056" s="32"/>
    </row>
    <row r="5057" spans="1:2" x14ac:dyDescent="0.35">
      <c r="A5057" s="32"/>
      <c r="B5057" s="32"/>
    </row>
    <row r="5058" spans="1:2" x14ac:dyDescent="0.35">
      <c r="A5058" s="32"/>
      <c r="B5058" s="32"/>
    </row>
    <row r="5059" spans="1:2" x14ac:dyDescent="0.35">
      <c r="A5059" s="32"/>
      <c r="B5059" s="32"/>
    </row>
    <row r="5060" spans="1:2" x14ac:dyDescent="0.35">
      <c r="A5060" s="32"/>
      <c r="B5060" s="32"/>
    </row>
    <row r="5061" spans="1:2" x14ac:dyDescent="0.35">
      <c r="A5061" s="32"/>
      <c r="B5061" s="32"/>
    </row>
    <row r="5062" spans="1:2" x14ac:dyDescent="0.35">
      <c r="A5062" s="32"/>
      <c r="B5062" s="32"/>
    </row>
    <row r="5063" spans="1:2" x14ac:dyDescent="0.35">
      <c r="A5063" s="32"/>
      <c r="B5063" s="32"/>
    </row>
    <row r="5064" spans="1:2" x14ac:dyDescent="0.35">
      <c r="A5064" s="32"/>
      <c r="B5064" s="32"/>
    </row>
    <row r="5065" spans="1:2" x14ac:dyDescent="0.35">
      <c r="A5065" s="32"/>
      <c r="B5065" s="32"/>
    </row>
    <row r="5066" spans="1:2" x14ac:dyDescent="0.35">
      <c r="A5066" s="32"/>
      <c r="B5066" s="32"/>
    </row>
    <row r="5067" spans="1:2" x14ac:dyDescent="0.35">
      <c r="A5067" s="32"/>
      <c r="B5067" s="32"/>
    </row>
    <row r="5068" spans="1:2" x14ac:dyDescent="0.35">
      <c r="A5068" s="32"/>
      <c r="B5068" s="32"/>
    </row>
    <row r="5069" spans="1:2" x14ac:dyDescent="0.35">
      <c r="A5069" s="32"/>
      <c r="B5069" s="32"/>
    </row>
    <row r="5070" spans="1:2" x14ac:dyDescent="0.35">
      <c r="A5070" s="32"/>
      <c r="B5070" s="32"/>
    </row>
    <row r="5071" spans="1:2" x14ac:dyDescent="0.35">
      <c r="A5071" s="32"/>
      <c r="B5071" s="32"/>
    </row>
    <row r="5072" spans="1:2" x14ac:dyDescent="0.35">
      <c r="A5072" s="32"/>
      <c r="B5072" s="32"/>
    </row>
    <row r="5073" spans="1:2" x14ac:dyDescent="0.35">
      <c r="A5073" s="32"/>
      <c r="B5073" s="32"/>
    </row>
    <row r="5074" spans="1:2" x14ac:dyDescent="0.35">
      <c r="A5074" s="32"/>
      <c r="B5074" s="32"/>
    </row>
    <row r="5075" spans="1:2" x14ac:dyDescent="0.35">
      <c r="A5075" s="32"/>
      <c r="B5075" s="32"/>
    </row>
    <row r="5076" spans="1:2" x14ac:dyDescent="0.35">
      <c r="A5076" s="32"/>
      <c r="B5076" s="32"/>
    </row>
    <row r="5077" spans="1:2" x14ac:dyDescent="0.35">
      <c r="A5077" s="32"/>
      <c r="B5077" s="32"/>
    </row>
    <row r="5078" spans="1:2" x14ac:dyDescent="0.35">
      <c r="A5078" s="32"/>
      <c r="B5078" s="32"/>
    </row>
    <row r="5079" spans="1:2" x14ac:dyDescent="0.35">
      <c r="A5079" s="32"/>
      <c r="B5079" s="32"/>
    </row>
    <row r="5080" spans="1:2" x14ac:dyDescent="0.35">
      <c r="A5080" s="32"/>
      <c r="B5080" s="32"/>
    </row>
    <row r="5081" spans="1:2" x14ac:dyDescent="0.35">
      <c r="A5081" s="32"/>
      <c r="B5081" s="32"/>
    </row>
    <row r="5082" spans="1:2" x14ac:dyDescent="0.35">
      <c r="A5082" s="32"/>
      <c r="B5082" s="32"/>
    </row>
    <row r="5083" spans="1:2" x14ac:dyDescent="0.35">
      <c r="A5083" s="32"/>
      <c r="B5083" s="32"/>
    </row>
    <row r="5084" spans="1:2" x14ac:dyDescent="0.35">
      <c r="A5084" s="32"/>
      <c r="B5084" s="32"/>
    </row>
    <row r="5085" spans="1:2" x14ac:dyDescent="0.35">
      <c r="A5085" s="32"/>
      <c r="B5085" s="32"/>
    </row>
    <row r="5086" spans="1:2" x14ac:dyDescent="0.35">
      <c r="A5086" s="32"/>
      <c r="B5086" s="32"/>
    </row>
    <row r="5087" spans="1:2" x14ac:dyDescent="0.35">
      <c r="A5087" s="32"/>
      <c r="B5087" s="32"/>
    </row>
    <row r="5088" spans="1:2" x14ac:dyDescent="0.35">
      <c r="A5088" s="32"/>
      <c r="B5088" s="32"/>
    </row>
    <row r="5089" spans="1:2" x14ac:dyDescent="0.35">
      <c r="A5089" s="32"/>
      <c r="B5089" s="32"/>
    </row>
    <row r="5090" spans="1:2" x14ac:dyDescent="0.35">
      <c r="A5090" s="32"/>
      <c r="B5090" s="32"/>
    </row>
    <row r="5091" spans="1:2" x14ac:dyDescent="0.35">
      <c r="A5091" s="32"/>
      <c r="B5091" s="32"/>
    </row>
    <row r="5092" spans="1:2" x14ac:dyDescent="0.35">
      <c r="A5092" s="32"/>
      <c r="B5092" s="32"/>
    </row>
    <row r="5093" spans="1:2" x14ac:dyDescent="0.35">
      <c r="A5093" s="32"/>
      <c r="B5093" s="32"/>
    </row>
    <row r="5094" spans="1:2" x14ac:dyDescent="0.35">
      <c r="A5094" s="32"/>
      <c r="B5094" s="32"/>
    </row>
    <row r="5095" spans="1:2" x14ac:dyDescent="0.35">
      <c r="A5095" s="32"/>
      <c r="B5095" s="32"/>
    </row>
    <row r="5096" spans="1:2" x14ac:dyDescent="0.35">
      <c r="A5096" s="32"/>
      <c r="B5096" s="32"/>
    </row>
    <row r="5097" spans="1:2" x14ac:dyDescent="0.35">
      <c r="A5097" s="32"/>
      <c r="B5097" s="32"/>
    </row>
    <row r="5098" spans="1:2" x14ac:dyDescent="0.35">
      <c r="A5098" s="32"/>
      <c r="B5098" s="32"/>
    </row>
    <row r="5099" spans="1:2" x14ac:dyDescent="0.35">
      <c r="A5099" s="32"/>
      <c r="B5099" s="32"/>
    </row>
    <row r="5100" spans="1:2" x14ac:dyDescent="0.35">
      <c r="A5100" s="32"/>
      <c r="B5100" s="32"/>
    </row>
    <row r="5101" spans="1:2" x14ac:dyDescent="0.35">
      <c r="A5101" s="32"/>
      <c r="B5101" s="32"/>
    </row>
    <row r="5102" spans="1:2" x14ac:dyDescent="0.35">
      <c r="A5102" s="32"/>
      <c r="B5102" s="32"/>
    </row>
    <row r="5103" spans="1:2" x14ac:dyDescent="0.35">
      <c r="A5103" s="32"/>
      <c r="B5103" s="32"/>
    </row>
    <row r="5104" spans="1:2" x14ac:dyDescent="0.35">
      <c r="A5104" s="32"/>
      <c r="B5104" s="32"/>
    </row>
    <row r="5105" spans="1:2" x14ac:dyDescent="0.35">
      <c r="A5105" s="32"/>
      <c r="B5105" s="32"/>
    </row>
    <row r="5106" spans="1:2" x14ac:dyDescent="0.35">
      <c r="A5106" s="32"/>
      <c r="B5106" s="32"/>
    </row>
    <row r="5107" spans="1:2" x14ac:dyDescent="0.35">
      <c r="A5107" s="32"/>
      <c r="B5107" s="32"/>
    </row>
    <row r="5108" spans="1:2" x14ac:dyDescent="0.35">
      <c r="A5108" s="32"/>
      <c r="B5108" s="32"/>
    </row>
    <row r="5109" spans="1:2" x14ac:dyDescent="0.35">
      <c r="A5109" s="32"/>
      <c r="B5109" s="32"/>
    </row>
    <row r="5110" spans="1:2" x14ac:dyDescent="0.35">
      <c r="A5110" s="32"/>
      <c r="B5110" s="32"/>
    </row>
    <row r="5111" spans="1:2" x14ac:dyDescent="0.35">
      <c r="A5111" s="32"/>
      <c r="B5111" s="32"/>
    </row>
    <row r="5112" spans="1:2" x14ac:dyDescent="0.35">
      <c r="A5112" s="32"/>
      <c r="B5112" s="32"/>
    </row>
    <row r="5113" spans="1:2" x14ac:dyDescent="0.35">
      <c r="A5113" s="32"/>
      <c r="B5113" s="32"/>
    </row>
    <row r="5114" spans="1:2" x14ac:dyDescent="0.35">
      <c r="A5114" s="32"/>
      <c r="B5114" s="32"/>
    </row>
    <row r="5115" spans="1:2" x14ac:dyDescent="0.35">
      <c r="A5115" s="32"/>
      <c r="B5115" s="32"/>
    </row>
    <row r="5116" spans="1:2" x14ac:dyDescent="0.35">
      <c r="A5116" s="32"/>
      <c r="B5116" s="32"/>
    </row>
    <row r="5117" spans="1:2" x14ac:dyDescent="0.35">
      <c r="A5117" s="32"/>
      <c r="B5117" s="32"/>
    </row>
    <row r="5118" spans="1:2" x14ac:dyDescent="0.35">
      <c r="A5118" s="32"/>
      <c r="B5118" s="32"/>
    </row>
    <row r="5119" spans="1:2" x14ac:dyDescent="0.35">
      <c r="A5119" s="32"/>
      <c r="B5119" s="32"/>
    </row>
    <row r="5120" spans="1:2" x14ac:dyDescent="0.35">
      <c r="A5120" s="32"/>
      <c r="B5120" s="32"/>
    </row>
    <row r="5121" spans="1:2" x14ac:dyDescent="0.35">
      <c r="A5121" s="32"/>
      <c r="B5121" s="32"/>
    </row>
    <row r="5122" spans="1:2" x14ac:dyDescent="0.35">
      <c r="A5122" s="32"/>
      <c r="B5122" s="32"/>
    </row>
    <row r="5123" spans="1:2" x14ac:dyDescent="0.35">
      <c r="A5123" s="32"/>
      <c r="B5123" s="32"/>
    </row>
    <row r="5124" spans="1:2" x14ac:dyDescent="0.35">
      <c r="A5124" s="32"/>
      <c r="B5124" s="32"/>
    </row>
    <row r="5125" spans="1:2" x14ac:dyDescent="0.35">
      <c r="A5125" s="32"/>
      <c r="B5125" s="32"/>
    </row>
    <row r="5126" spans="1:2" x14ac:dyDescent="0.35">
      <c r="A5126" s="32"/>
      <c r="B5126" s="32"/>
    </row>
    <row r="5127" spans="1:2" x14ac:dyDescent="0.35">
      <c r="A5127" s="32"/>
      <c r="B5127" s="32"/>
    </row>
    <row r="5128" spans="1:2" x14ac:dyDescent="0.35">
      <c r="A5128" s="32"/>
      <c r="B5128" s="32"/>
    </row>
    <row r="5129" spans="1:2" x14ac:dyDescent="0.35">
      <c r="A5129" s="32"/>
      <c r="B5129" s="32"/>
    </row>
    <row r="5130" spans="1:2" x14ac:dyDescent="0.35">
      <c r="A5130" s="32"/>
      <c r="B5130" s="32"/>
    </row>
    <row r="5131" spans="1:2" x14ac:dyDescent="0.35">
      <c r="A5131" s="32"/>
      <c r="B5131" s="32"/>
    </row>
    <row r="5132" spans="1:2" x14ac:dyDescent="0.35">
      <c r="A5132" s="32"/>
      <c r="B5132" s="32"/>
    </row>
    <row r="5133" spans="1:2" x14ac:dyDescent="0.35">
      <c r="A5133" s="32"/>
      <c r="B5133" s="32"/>
    </row>
    <row r="5134" spans="1:2" x14ac:dyDescent="0.35">
      <c r="A5134" s="32"/>
      <c r="B5134" s="32"/>
    </row>
    <row r="5135" spans="1:2" x14ac:dyDescent="0.35">
      <c r="A5135" s="32"/>
      <c r="B5135" s="32"/>
    </row>
    <row r="5136" spans="1:2" x14ac:dyDescent="0.35">
      <c r="A5136" s="32"/>
      <c r="B5136" s="32"/>
    </row>
    <row r="5137" spans="1:2" x14ac:dyDescent="0.35">
      <c r="A5137" s="32"/>
      <c r="B5137" s="32"/>
    </row>
    <row r="5138" spans="1:2" x14ac:dyDescent="0.35">
      <c r="A5138" s="32"/>
      <c r="B5138" s="32"/>
    </row>
    <row r="5139" spans="1:2" x14ac:dyDescent="0.35">
      <c r="A5139" s="32"/>
      <c r="B5139" s="32"/>
    </row>
    <row r="5140" spans="1:2" x14ac:dyDescent="0.35">
      <c r="A5140" s="32"/>
      <c r="B5140" s="32"/>
    </row>
    <row r="5141" spans="1:2" x14ac:dyDescent="0.35">
      <c r="A5141" s="32"/>
      <c r="B5141" s="32"/>
    </row>
    <row r="5142" spans="1:2" x14ac:dyDescent="0.35">
      <c r="A5142" s="32"/>
      <c r="B5142" s="32"/>
    </row>
    <row r="5143" spans="1:2" x14ac:dyDescent="0.35">
      <c r="A5143" s="32"/>
      <c r="B5143" s="32"/>
    </row>
    <row r="5144" spans="1:2" x14ac:dyDescent="0.35">
      <c r="A5144" s="32"/>
      <c r="B5144" s="32"/>
    </row>
    <row r="5145" spans="1:2" x14ac:dyDescent="0.35">
      <c r="A5145" s="32"/>
      <c r="B5145" s="32"/>
    </row>
    <row r="5146" spans="1:2" x14ac:dyDescent="0.35">
      <c r="A5146" s="32"/>
      <c r="B5146" s="32"/>
    </row>
    <row r="5147" spans="1:2" x14ac:dyDescent="0.35">
      <c r="A5147" s="32"/>
      <c r="B5147" s="32"/>
    </row>
    <row r="5148" spans="1:2" x14ac:dyDescent="0.35">
      <c r="A5148" s="32"/>
      <c r="B5148" s="32"/>
    </row>
    <row r="5149" spans="1:2" x14ac:dyDescent="0.35">
      <c r="A5149" s="32"/>
      <c r="B5149" s="32"/>
    </row>
    <row r="5150" spans="1:2" x14ac:dyDescent="0.35">
      <c r="A5150" s="32"/>
      <c r="B5150" s="32"/>
    </row>
    <row r="5151" spans="1:2" x14ac:dyDescent="0.35">
      <c r="A5151" s="32"/>
      <c r="B5151" s="32"/>
    </row>
    <row r="5152" spans="1:2" x14ac:dyDescent="0.35">
      <c r="A5152" s="32"/>
      <c r="B5152" s="32"/>
    </row>
    <row r="5153" spans="1:2" x14ac:dyDescent="0.35">
      <c r="A5153" s="32"/>
      <c r="B5153" s="32"/>
    </row>
    <row r="5154" spans="1:2" x14ac:dyDescent="0.35">
      <c r="A5154" s="32"/>
      <c r="B5154" s="32"/>
    </row>
    <row r="5155" spans="1:2" x14ac:dyDescent="0.35">
      <c r="A5155" s="32"/>
      <c r="B5155" s="32"/>
    </row>
    <row r="5156" spans="1:2" x14ac:dyDescent="0.35">
      <c r="A5156" s="32"/>
      <c r="B5156" s="32"/>
    </row>
    <row r="5157" spans="1:2" x14ac:dyDescent="0.35">
      <c r="A5157" s="32"/>
      <c r="B5157" s="32"/>
    </row>
    <row r="5158" spans="1:2" x14ac:dyDescent="0.35">
      <c r="A5158" s="32"/>
      <c r="B5158" s="32"/>
    </row>
    <row r="5159" spans="1:2" x14ac:dyDescent="0.35">
      <c r="A5159" s="32"/>
      <c r="B5159" s="32"/>
    </row>
    <row r="5160" spans="1:2" x14ac:dyDescent="0.35">
      <c r="A5160" s="32"/>
      <c r="B5160" s="32"/>
    </row>
    <row r="5161" spans="1:2" x14ac:dyDescent="0.35">
      <c r="A5161" s="32"/>
      <c r="B5161" s="32"/>
    </row>
    <row r="5162" spans="1:2" x14ac:dyDescent="0.35">
      <c r="A5162" s="32"/>
      <c r="B5162" s="32"/>
    </row>
    <row r="5163" spans="1:2" x14ac:dyDescent="0.35">
      <c r="A5163" s="32"/>
      <c r="B5163" s="32"/>
    </row>
    <row r="5164" spans="1:2" x14ac:dyDescent="0.35">
      <c r="A5164" s="32"/>
      <c r="B5164" s="32"/>
    </row>
    <row r="5165" spans="1:2" x14ac:dyDescent="0.35">
      <c r="A5165" s="32"/>
      <c r="B5165" s="32"/>
    </row>
    <row r="5166" spans="1:2" x14ac:dyDescent="0.35">
      <c r="A5166" s="32"/>
      <c r="B5166" s="32"/>
    </row>
    <row r="5167" spans="1:2" x14ac:dyDescent="0.35">
      <c r="A5167" s="32"/>
      <c r="B5167" s="32"/>
    </row>
    <row r="5168" spans="1:2" x14ac:dyDescent="0.35">
      <c r="A5168" s="32"/>
      <c r="B5168" s="32"/>
    </row>
    <row r="5169" spans="1:2" x14ac:dyDescent="0.35">
      <c r="A5169" s="32"/>
      <c r="B5169" s="32"/>
    </row>
    <row r="5170" spans="1:2" x14ac:dyDescent="0.35">
      <c r="A5170" s="32"/>
      <c r="B5170" s="32"/>
    </row>
    <row r="5171" spans="1:2" x14ac:dyDescent="0.35">
      <c r="A5171" s="32"/>
      <c r="B5171" s="32"/>
    </row>
    <row r="5172" spans="1:2" x14ac:dyDescent="0.35">
      <c r="A5172" s="32"/>
      <c r="B5172" s="32"/>
    </row>
    <row r="5173" spans="1:2" x14ac:dyDescent="0.35">
      <c r="A5173" s="32"/>
      <c r="B5173" s="32"/>
    </row>
    <row r="5174" spans="1:2" x14ac:dyDescent="0.35">
      <c r="A5174" s="32"/>
      <c r="B5174" s="32"/>
    </row>
    <row r="5175" spans="1:2" x14ac:dyDescent="0.35">
      <c r="A5175" s="32"/>
      <c r="B5175" s="32"/>
    </row>
    <row r="5176" spans="1:2" x14ac:dyDescent="0.35">
      <c r="A5176" s="32"/>
      <c r="B5176" s="32"/>
    </row>
    <row r="5177" spans="1:2" x14ac:dyDescent="0.35">
      <c r="A5177" s="32"/>
      <c r="B5177" s="32"/>
    </row>
    <row r="5178" spans="1:2" x14ac:dyDescent="0.35">
      <c r="A5178" s="32"/>
      <c r="B5178" s="32"/>
    </row>
    <row r="5179" spans="1:2" x14ac:dyDescent="0.35">
      <c r="A5179" s="32"/>
      <c r="B5179" s="32"/>
    </row>
    <row r="5180" spans="1:2" x14ac:dyDescent="0.35">
      <c r="A5180" s="32"/>
      <c r="B5180" s="32"/>
    </row>
    <row r="5181" spans="1:2" x14ac:dyDescent="0.35">
      <c r="A5181" s="32"/>
      <c r="B5181" s="32"/>
    </row>
    <row r="5182" spans="1:2" x14ac:dyDescent="0.35">
      <c r="A5182" s="32"/>
      <c r="B5182" s="32"/>
    </row>
    <row r="5183" spans="1:2" x14ac:dyDescent="0.35">
      <c r="A5183" s="32"/>
      <c r="B5183" s="32"/>
    </row>
    <row r="5184" spans="1:2" x14ac:dyDescent="0.35">
      <c r="A5184" s="32"/>
      <c r="B5184" s="32"/>
    </row>
    <row r="5185" spans="1:2" x14ac:dyDescent="0.35">
      <c r="A5185" s="32"/>
      <c r="B5185" s="32"/>
    </row>
    <row r="5186" spans="1:2" x14ac:dyDescent="0.35">
      <c r="A5186" s="32"/>
      <c r="B5186" s="32"/>
    </row>
    <row r="5187" spans="1:2" x14ac:dyDescent="0.35">
      <c r="A5187" s="32"/>
      <c r="B5187" s="32"/>
    </row>
    <row r="5188" spans="1:2" x14ac:dyDescent="0.35">
      <c r="A5188" s="32"/>
      <c r="B5188" s="32"/>
    </row>
    <row r="5189" spans="1:2" x14ac:dyDescent="0.35">
      <c r="A5189" s="32"/>
      <c r="B5189" s="32"/>
    </row>
    <row r="5190" spans="1:2" x14ac:dyDescent="0.35">
      <c r="A5190" s="32"/>
      <c r="B5190" s="32"/>
    </row>
    <row r="5191" spans="1:2" x14ac:dyDescent="0.35">
      <c r="A5191" s="32"/>
      <c r="B5191" s="32"/>
    </row>
    <row r="5192" spans="1:2" x14ac:dyDescent="0.35">
      <c r="A5192" s="32"/>
      <c r="B5192" s="32"/>
    </row>
    <row r="5193" spans="1:2" x14ac:dyDescent="0.35">
      <c r="A5193" s="32"/>
      <c r="B5193" s="32"/>
    </row>
    <row r="5194" spans="1:2" x14ac:dyDescent="0.35">
      <c r="A5194" s="32"/>
      <c r="B5194" s="32"/>
    </row>
    <row r="5195" spans="1:2" x14ac:dyDescent="0.35">
      <c r="A5195" s="32"/>
      <c r="B5195" s="32"/>
    </row>
    <row r="5196" spans="1:2" x14ac:dyDescent="0.35">
      <c r="A5196" s="32"/>
      <c r="B5196" s="32"/>
    </row>
    <row r="5197" spans="1:2" x14ac:dyDescent="0.35">
      <c r="A5197" s="32"/>
      <c r="B5197" s="32"/>
    </row>
    <row r="5198" spans="1:2" x14ac:dyDescent="0.35">
      <c r="A5198" s="32"/>
      <c r="B5198" s="32"/>
    </row>
    <row r="5199" spans="1:2" x14ac:dyDescent="0.35">
      <c r="A5199" s="32"/>
      <c r="B5199" s="32"/>
    </row>
    <row r="5200" spans="1:2" x14ac:dyDescent="0.35">
      <c r="A5200" s="32"/>
      <c r="B5200" s="32"/>
    </row>
    <row r="5201" spans="1:2" x14ac:dyDescent="0.35">
      <c r="A5201" s="32"/>
      <c r="B5201" s="32"/>
    </row>
    <row r="5202" spans="1:2" x14ac:dyDescent="0.35">
      <c r="A5202" s="32"/>
      <c r="B5202" s="32"/>
    </row>
    <row r="5203" spans="1:2" x14ac:dyDescent="0.35">
      <c r="A5203" s="32"/>
      <c r="B5203" s="32"/>
    </row>
    <row r="5204" spans="1:2" x14ac:dyDescent="0.35">
      <c r="A5204" s="32"/>
      <c r="B5204" s="32"/>
    </row>
    <row r="5205" spans="1:2" x14ac:dyDescent="0.35">
      <c r="A5205" s="32"/>
      <c r="B5205" s="32"/>
    </row>
    <row r="5206" spans="1:2" x14ac:dyDescent="0.35">
      <c r="A5206" s="32"/>
      <c r="B5206" s="32"/>
    </row>
    <row r="5207" spans="1:2" x14ac:dyDescent="0.35">
      <c r="A5207" s="32"/>
      <c r="B5207" s="32"/>
    </row>
    <row r="5208" spans="1:2" x14ac:dyDescent="0.35">
      <c r="A5208" s="32"/>
      <c r="B5208" s="32"/>
    </row>
    <row r="5209" spans="1:2" x14ac:dyDescent="0.35">
      <c r="A5209" s="32"/>
      <c r="B5209" s="32"/>
    </row>
    <row r="5210" spans="1:2" x14ac:dyDescent="0.35">
      <c r="A5210" s="32"/>
      <c r="B5210" s="32"/>
    </row>
    <row r="5211" spans="1:2" x14ac:dyDescent="0.35">
      <c r="A5211" s="32"/>
      <c r="B5211" s="32"/>
    </row>
    <row r="5212" spans="1:2" x14ac:dyDescent="0.35">
      <c r="A5212" s="32"/>
      <c r="B5212" s="32"/>
    </row>
    <row r="5213" spans="1:2" x14ac:dyDescent="0.35">
      <c r="A5213" s="32"/>
      <c r="B5213" s="32"/>
    </row>
    <row r="5214" spans="1:2" x14ac:dyDescent="0.35">
      <c r="A5214" s="32"/>
      <c r="B5214" s="32"/>
    </row>
    <row r="5215" spans="1:2" x14ac:dyDescent="0.35">
      <c r="A5215" s="32"/>
      <c r="B5215" s="32"/>
    </row>
    <row r="5216" spans="1:2" x14ac:dyDescent="0.35">
      <c r="A5216" s="32"/>
      <c r="B5216" s="32"/>
    </row>
    <row r="5217" spans="1:2" x14ac:dyDescent="0.35">
      <c r="A5217" s="32"/>
      <c r="B5217" s="32"/>
    </row>
    <row r="5218" spans="1:2" x14ac:dyDescent="0.35">
      <c r="A5218" s="32"/>
      <c r="B5218" s="32"/>
    </row>
    <row r="5219" spans="1:2" x14ac:dyDescent="0.35">
      <c r="A5219" s="32"/>
      <c r="B5219" s="32"/>
    </row>
    <row r="5220" spans="1:2" x14ac:dyDescent="0.35">
      <c r="A5220" s="32"/>
      <c r="B5220" s="32"/>
    </row>
    <row r="5221" spans="1:2" x14ac:dyDescent="0.35">
      <c r="A5221" s="32"/>
      <c r="B5221" s="32"/>
    </row>
    <row r="5222" spans="1:2" x14ac:dyDescent="0.35">
      <c r="A5222" s="32"/>
      <c r="B5222" s="32"/>
    </row>
    <row r="5223" spans="1:2" x14ac:dyDescent="0.35">
      <c r="A5223" s="32"/>
      <c r="B5223" s="32"/>
    </row>
    <row r="5224" spans="1:2" x14ac:dyDescent="0.35">
      <c r="A5224" s="32"/>
      <c r="B5224" s="32"/>
    </row>
    <row r="5225" spans="1:2" x14ac:dyDescent="0.35">
      <c r="A5225" s="32"/>
      <c r="B5225" s="32"/>
    </row>
    <row r="5226" spans="1:2" x14ac:dyDescent="0.35">
      <c r="A5226" s="32"/>
      <c r="B5226" s="32"/>
    </row>
    <row r="5227" spans="1:2" x14ac:dyDescent="0.35">
      <c r="A5227" s="32"/>
      <c r="B5227" s="32"/>
    </row>
    <row r="5228" spans="1:2" x14ac:dyDescent="0.35">
      <c r="A5228" s="32"/>
      <c r="B5228" s="32"/>
    </row>
    <row r="5229" spans="1:2" x14ac:dyDescent="0.35">
      <c r="A5229" s="32"/>
      <c r="B5229" s="32"/>
    </row>
    <row r="5230" spans="1:2" x14ac:dyDescent="0.35">
      <c r="A5230" s="32"/>
      <c r="B5230" s="32"/>
    </row>
    <row r="5231" spans="1:2" x14ac:dyDescent="0.35">
      <c r="A5231" s="32"/>
      <c r="B5231" s="32"/>
    </row>
    <row r="5232" spans="1:2" x14ac:dyDescent="0.35">
      <c r="A5232" s="32"/>
      <c r="B5232" s="32"/>
    </row>
    <row r="5233" spans="1:2" x14ac:dyDescent="0.35">
      <c r="A5233" s="32"/>
      <c r="B5233" s="32"/>
    </row>
    <row r="5234" spans="1:2" x14ac:dyDescent="0.35">
      <c r="A5234" s="32"/>
      <c r="B5234" s="32"/>
    </row>
    <row r="5235" spans="1:2" x14ac:dyDescent="0.35">
      <c r="A5235" s="32"/>
      <c r="B5235" s="32"/>
    </row>
    <row r="5236" spans="1:2" x14ac:dyDescent="0.35">
      <c r="A5236" s="32"/>
      <c r="B5236" s="32"/>
    </row>
    <row r="5237" spans="1:2" x14ac:dyDescent="0.35">
      <c r="A5237" s="32"/>
      <c r="B5237" s="32"/>
    </row>
    <row r="5238" spans="1:2" x14ac:dyDescent="0.35">
      <c r="A5238" s="32"/>
      <c r="B5238" s="32"/>
    </row>
    <row r="5239" spans="1:2" x14ac:dyDescent="0.35">
      <c r="A5239" s="32"/>
      <c r="B5239" s="32"/>
    </row>
    <row r="5240" spans="1:2" x14ac:dyDescent="0.35">
      <c r="A5240" s="32"/>
      <c r="B5240" s="32"/>
    </row>
    <row r="5241" spans="1:2" x14ac:dyDescent="0.35">
      <c r="A5241" s="32"/>
      <c r="B5241" s="32"/>
    </row>
    <row r="5242" spans="1:2" x14ac:dyDescent="0.35">
      <c r="A5242" s="32"/>
      <c r="B5242" s="32"/>
    </row>
    <row r="5243" spans="1:2" x14ac:dyDescent="0.35">
      <c r="A5243" s="32"/>
      <c r="B5243" s="32"/>
    </row>
    <row r="5244" spans="1:2" x14ac:dyDescent="0.35">
      <c r="A5244" s="32"/>
      <c r="B5244" s="32"/>
    </row>
    <row r="5245" spans="1:2" x14ac:dyDescent="0.35">
      <c r="A5245" s="32"/>
      <c r="B5245" s="32"/>
    </row>
    <row r="5246" spans="1:2" x14ac:dyDescent="0.35">
      <c r="A5246" s="32"/>
      <c r="B5246" s="32"/>
    </row>
    <row r="5247" spans="1:2" x14ac:dyDescent="0.35">
      <c r="A5247" s="32"/>
      <c r="B5247" s="32"/>
    </row>
    <row r="5248" spans="1:2" x14ac:dyDescent="0.35">
      <c r="A5248" s="32"/>
      <c r="B5248" s="32"/>
    </row>
    <row r="5249" spans="1:2" x14ac:dyDescent="0.35">
      <c r="A5249" s="32"/>
      <c r="B5249" s="32"/>
    </row>
    <row r="5250" spans="1:2" x14ac:dyDescent="0.35">
      <c r="A5250" s="32"/>
      <c r="B5250" s="32"/>
    </row>
    <row r="5251" spans="1:2" x14ac:dyDescent="0.35">
      <c r="A5251" s="32"/>
      <c r="B5251" s="32"/>
    </row>
    <row r="5252" spans="1:2" x14ac:dyDescent="0.35">
      <c r="A5252" s="32"/>
      <c r="B5252" s="32"/>
    </row>
    <row r="5253" spans="1:2" x14ac:dyDescent="0.35">
      <c r="A5253" s="32"/>
      <c r="B5253" s="32"/>
    </row>
    <row r="5254" spans="1:2" x14ac:dyDescent="0.35">
      <c r="A5254" s="32"/>
      <c r="B5254" s="32"/>
    </row>
    <row r="5255" spans="1:2" x14ac:dyDescent="0.35">
      <c r="A5255" s="32"/>
      <c r="B5255" s="32"/>
    </row>
    <row r="5256" spans="1:2" x14ac:dyDescent="0.35">
      <c r="A5256" s="32"/>
      <c r="B5256" s="32"/>
    </row>
    <row r="5257" spans="1:2" x14ac:dyDescent="0.35">
      <c r="A5257" s="32"/>
      <c r="B5257" s="32"/>
    </row>
    <row r="5258" spans="1:2" x14ac:dyDescent="0.35">
      <c r="A5258" s="32"/>
      <c r="B5258" s="32"/>
    </row>
    <row r="5259" spans="1:2" x14ac:dyDescent="0.35">
      <c r="A5259" s="32"/>
      <c r="B5259" s="32"/>
    </row>
    <row r="5260" spans="1:2" x14ac:dyDescent="0.35">
      <c r="A5260" s="32"/>
      <c r="B5260" s="32"/>
    </row>
    <row r="5261" spans="1:2" x14ac:dyDescent="0.35">
      <c r="A5261" s="32"/>
      <c r="B5261" s="32"/>
    </row>
    <row r="5262" spans="1:2" x14ac:dyDescent="0.35">
      <c r="A5262" s="32"/>
      <c r="B5262" s="32"/>
    </row>
    <row r="5263" spans="1:2" x14ac:dyDescent="0.35">
      <c r="A5263" s="32"/>
      <c r="B5263" s="32"/>
    </row>
    <row r="5264" spans="1:2" x14ac:dyDescent="0.35">
      <c r="A5264" s="32"/>
      <c r="B5264" s="32"/>
    </row>
    <row r="5265" spans="1:2" x14ac:dyDescent="0.35">
      <c r="A5265" s="32"/>
      <c r="B5265" s="32"/>
    </row>
    <row r="5266" spans="1:2" x14ac:dyDescent="0.35">
      <c r="A5266" s="32"/>
      <c r="B5266" s="32"/>
    </row>
    <row r="5267" spans="1:2" x14ac:dyDescent="0.35">
      <c r="A5267" s="32"/>
      <c r="B5267" s="32"/>
    </row>
    <row r="5268" spans="1:2" x14ac:dyDescent="0.35">
      <c r="A5268" s="32"/>
      <c r="B5268" s="32"/>
    </row>
    <row r="5269" spans="1:2" x14ac:dyDescent="0.35">
      <c r="A5269" s="32"/>
      <c r="B5269" s="32"/>
    </row>
    <row r="5270" spans="1:2" x14ac:dyDescent="0.35">
      <c r="A5270" s="32"/>
      <c r="B5270" s="32"/>
    </row>
    <row r="5271" spans="1:2" x14ac:dyDescent="0.35">
      <c r="A5271" s="32"/>
      <c r="B5271" s="32"/>
    </row>
    <row r="5272" spans="1:2" x14ac:dyDescent="0.35">
      <c r="A5272" s="32"/>
      <c r="B5272" s="32"/>
    </row>
    <row r="5273" spans="1:2" x14ac:dyDescent="0.35">
      <c r="A5273" s="32"/>
      <c r="B5273" s="32"/>
    </row>
    <row r="5274" spans="1:2" x14ac:dyDescent="0.35">
      <c r="A5274" s="32"/>
      <c r="B5274" s="32"/>
    </row>
    <row r="5275" spans="1:2" x14ac:dyDescent="0.35">
      <c r="A5275" s="32"/>
      <c r="B5275" s="32"/>
    </row>
    <row r="5276" spans="1:2" x14ac:dyDescent="0.35">
      <c r="A5276" s="32"/>
      <c r="B5276" s="32"/>
    </row>
    <row r="5277" spans="1:2" x14ac:dyDescent="0.35">
      <c r="A5277" s="32"/>
      <c r="B5277" s="32"/>
    </row>
    <row r="5278" spans="1:2" x14ac:dyDescent="0.35">
      <c r="A5278" s="32"/>
      <c r="B5278" s="32"/>
    </row>
    <row r="5279" spans="1:2" x14ac:dyDescent="0.35">
      <c r="A5279" s="32"/>
      <c r="B5279" s="32"/>
    </row>
    <row r="5280" spans="1:2" x14ac:dyDescent="0.35">
      <c r="A5280" s="32"/>
      <c r="B5280" s="32"/>
    </row>
    <row r="5281" spans="1:2" x14ac:dyDescent="0.35">
      <c r="A5281" s="32"/>
      <c r="B5281" s="32"/>
    </row>
    <row r="5282" spans="1:2" x14ac:dyDescent="0.35">
      <c r="A5282" s="32"/>
      <c r="B5282" s="32"/>
    </row>
    <row r="5283" spans="1:2" x14ac:dyDescent="0.35">
      <c r="A5283" s="32"/>
      <c r="B5283" s="32"/>
    </row>
    <row r="5284" spans="1:2" x14ac:dyDescent="0.35">
      <c r="A5284" s="32"/>
      <c r="B5284" s="32"/>
    </row>
    <row r="5285" spans="1:2" x14ac:dyDescent="0.35">
      <c r="A5285" s="32"/>
      <c r="B5285" s="32"/>
    </row>
    <row r="5286" spans="1:2" x14ac:dyDescent="0.35">
      <c r="A5286" s="32"/>
      <c r="B5286" s="32"/>
    </row>
    <row r="5287" spans="1:2" x14ac:dyDescent="0.35">
      <c r="A5287" s="32"/>
      <c r="B5287" s="32"/>
    </row>
    <row r="5288" spans="1:2" x14ac:dyDescent="0.35">
      <c r="A5288" s="32"/>
      <c r="B5288" s="32"/>
    </row>
    <row r="5289" spans="1:2" x14ac:dyDescent="0.35">
      <c r="A5289" s="32"/>
      <c r="B5289" s="32"/>
    </row>
    <row r="5290" spans="1:2" x14ac:dyDescent="0.35">
      <c r="A5290" s="32"/>
      <c r="B5290" s="32"/>
    </row>
    <row r="5291" spans="1:2" x14ac:dyDescent="0.35">
      <c r="A5291" s="32"/>
      <c r="B5291" s="32"/>
    </row>
    <row r="5292" spans="1:2" x14ac:dyDescent="0.35">
      <c r="A5292" s="32"/>
      <c r="B5292" s="32"/>
    </row>
    <row r="5293" spans="1:2" x14ac:dyDescent="0.35">
      <c r="A5293" s="32"/>
      <c r="B5293" s="32"/>
    </row>
    <row r="5294" spans="1:2" x14ac:dyDescent="0.35">
      <c r="A5294" s="32"/>
      <c r="B5294" s="32"/>
    </row>
    <row r="5295" spans="1:2" x14ac:dyDescent="0.35">
      <c r="A5295" s="32"/>
      <c r="B5295" s="32"/>
    </row>
    <row r="5296" spans="1:2" x14ac:dyDescent="0.35">
      <c r="A5296" s="32"/>
      <c r="B5296" s="32"/>
    </row>
    <row r="5297" spans="1:2" x14ac:dyDescent="0.35">
      <c r="A5297" s="32"/>
      <c r="B5297" s="32"/>
    </row>
    <row r="5298" spans="1:2" x14ac:dyDescent="0.35">
      <c r="A5298" s="32"/>
      <c r="B5298" s="32"/>
    </row>
    <row r="5299" spans="1:2" x14ac:dyDescent="0.35">
      <c r="A5299" s="32"/>
      <c r="B5299" s="32"/>
    </row>
    <row r="5300" spans="1:2" x14ac:dyDescent="0.35">
      <c r="A5300" s="32"/>
      <c r="B5300" s="32"/>
    </row>
    <row r="5301" spans="1:2" x14ac:dyDescent="0.35">
      <c r="A5301" s="32"/>
      <c r="B5301" s="32"/>
    </row>
    <row r="5302" spans="1:2" x14ac:dyDescent="0.35">
      <c r="A5302" s="32"/>
      <c r="B5302" s="32"/>
    </row>
    <row r="5303" spans="1:2" x14ac:dyDescent="0.35">
      <c r="A5303" s="32"/>
      <c r="B5303" s="32"/>
    </row>
    <row r="5304" spans="1:2" x14ac:dyDescent="0.35">
      <c r="A5304" s="32"/>
      <c r="B5304" s="32"/>
    </row>
    <row r="5305" spans="1:2" x14ac:dyDescent="0.35">
      <c r="A5305" s="32"/>
      <c r="B5305" s="32"/>
    </row>
    <row r="5306" spans="1:2" x14ac:dyDescent="0.35">
      <c r="A5306" s="32"/>
      <c r="B5306" s="32"/>
    </row>
    <row r="5307" spans="1:2" x14ac:dyDescent="0.35">
      <c r="A5307" s="32"/>
      <c r="B5307" s="32"/>
    </row>
    <row r="5308" spans="1:2" x14ac:dyDescent="0.35">
      <c r="A5308" s="32"/>
      <c r="B5308" s="32"/>
    </row>
    <row r="5309" spans="1:2" x14ac:dyDescent="0.35">
      <c r="A5309" s="32"/>
      <c r="B5309" s="32"/>
    </row>
    <row r="5310" spans="1:2" x14ac:dyDescent="0.35">
      <c r="A5310" s="32"/>
      <c r="B5310" s="32"/>
    </row>
    <row r="5311" spans="1:2" x14ac:dyDescent="0.35">
      <c r="A5311" s="32"/>
      <c r="B5311" s="32"/>
    </row>
    <row r="5312" spans="1:2" x14ac:dyDescent="0.35">
      <c r="A5312" s="32"/>
      <c r="B5312" s="32"/>
    </row>
    <row r="5313" spans="1:2" x14ac:dyDescent="0.35">
      <c r="A5313" s="32"/>
      <c r="B5313" s="32"/>
    </row>
    <row r="5314" spans="1:2" x14ac:dyDescent="0.35">
      <c r="A5314" s="32"/>
      <c r="B5314" s="32"/>
    </row>
    <row r="5315" spans="1:2" x14ac:dyDescent="0.35">
      <c r="A5315" s="32"/>
      <c r="B5315" s="32"/>
    </row>
    <row r="5316" spans="1:2" x14ac:dyDescent="0.35">
      <c r="A5316" s="32"/>
      <c r="B5316" s="32"/>
    </row>
    <row r="5317" spans="1:2" x14ac:dyDescent="0.35">
      <c r="A5317" s="32"/>
      <c r="B5317" s="32"/>
    </row>
    <row r="5318" spans="1:2" x14ac:dyDescent="0.35">
      <c r="A5318" s="32"/>
      <c r="B5318" s="32"/>
    </row>
    <row r="5319" spans="1:2" x14ac:dyDescent="0.35">
      <c r="A5319" s="32"/>
      <c r="B5319" s="32"/>
    </row>
    <row r="5320" spans="1:2" x14ac:dyDescent="0.35">
      <c r="A5320" s="32"/>
      <c r="B5320" s="32"/>
    </row>
    <row r="5321" spans="1:2" x14ac:dyDescent="0.35">
      <c r="A5321" s="32"/>
      <c r="B5321" s="32"/>
    </row>
    <row r="5322" spans="1:2" x14ac:dyDescent="0.35">
      <c r="A5322" s="32"/>
      <c r="B5322" s="32"/>
    </row>
    <row r="5323" spans="1:2" x14ac:dyDescent="0.35">
      <c r="A5323" s="32"/>
      <c r="B5323" s="32"/>
    </row>
    <row r="5324" spans="1:2" x14ac:dyDescent="0.35">
      <c r="A5324" s="32"/>
      <c r="B5324" s="32"/>
    </row>
    <row r="5325" spans="1:2" x14ac:dyDescent="0.35">
      <c r="A5325" s="32"/>
      <c r="B5325" s="32"/>
    </row>
    <row r="5326" spans="1:2" x14ac:dyDescent="0.35">
      <c r="A5326" s="32"/>
      <c r="B5326" s="32"/>
    </row>
    <row r="5327" spans="1:2" x14ac:dyDescent="0.35">
      <c r="A5327" s="32"/>
      <c r="B5327" s="32"/>
    </row>
    <row r="5328" spans="1:2" x14ac:dyDescent="0.35">
      <c r="A5328" s="32"/>
      <c r="B5328" s="32"/>
    </row>
    <row r="5329" spans="1:2" x14ac:dyDescent="0.35">
      <c r="A5329" s="32"/>
      <c r="B5329" s="32"/>
    </row>
    <row r="5330" spans="1:2" x14ac:dyDescent="0.35">
      <c r="A5330" s="32"/>
      <c r="B5330" s="32"/>
    </row>
    <row r="5331" spans="1:2" x14ac:dyDescent="0.35">
      <c r="A5331" s="32"/>
      <c r="B5331" s="32"/>
    </row>
    <row r="5332" spans="1:2" x14ac:dyDescent="0.35">
      <c r="A5332" s="32"/>
      <c r="B5332" s="32"/>
    </row>
    <row r="5333" spans="1:2" x14ac:dyDescent="0.35">
      <c r="A5333" s="32"/>
      <c r="B5333" s="32"/>
    </row>
    <row r="5334" spans="1:2" x14ac:dyDescent="0.35">
      <c r="A5334" s="32"/>
      <c r="B5334" s="32"/>
    </row>
    <row r="5335" spans="1:2" x14ac:dyDescent="0.35">
      <c r="A5335" s="32"/>
      <c r="B5335" s="32"/>
    </row>
    <row r="5336" spans="1:2" x14ac:dyDescent="0.35">
      <c r="A5336" s="32"/>
      <c r="B5336" s="32"/>
    </row>
    <row r="5337" spans="1:2" x14ac:dyDescent="0.35">
      <c r="A5337" s="32"/>
      <c r="B5337" s="32"/>
    </row>
    <row r="5338" spans="1:2" x14ac:dyDescent="0.35">
      <c r="A5338" s="32"/>
      <c r="B5338" s="32"/>
    </row>
    <row r="5339" spans="1:2" x14ac:dyDescent="0.35">
      <c r="A5339" s="32"/>
      <c r="B5339" s="32"/>
    </row>
    <row r="5340" spans="1:2" x14ac:dyDescent="0.35">
      <c r="A5340" s="32"/>
      <c r="B5340" s="32"/>
    </row>
    <row r="5341" spans="1:2" x14ac:dyDescent="0.35">
      <c r="A5341" s="32"/>
      <c r="B5341" s="32"/>
    </row>
    <row r="5342" spans="1:2" x14ac:dyDescent="0.35">
      <c r="A5342" s="32"/>
      <c r="B5342" s="32"/>
    </row>
    <row r="5343" spans="1:2" x14ac:dyDescent="0.35">
      <c r="A5343" s="32"/>
      <c r="B5343" s="32"/>
    </row>
    <row r="5344" spans="1:2" x14ac:dyDescent="0.35">
      <c r="A5344" s="32"/>
      <c r="B5344" s="32"/>
    </row>
    <row r="5345" spans="1:2" x14ac:dyDescent="0.35">
      <c r="A5345" s="32"/>
      <c r="B5345" s="32"/>
    </row>
    <row r="5346" spans="1:2" x14ac:dyDescent="0.35">
      <c r="A5346" s="32"/>
      <c r="B5346" s="32"/>
    </row>
    <row r="5347" spans="1:2" x14ac:dyDescent="0.35">
      <c r="A5347" s="32"/>
      <c r="B5347" s="32"/>
    </row>
    <row r="5348" spans="1:2" x14ac:dyDescent="0.35">
      <c r="A5348" s="32"/>
      <c r="B5348" s="32"/>
    </row>
    <row r="5349" spans="1:2" x14ac:dyDescent="0.35">
      <c r="A5349" s="32"/>
      <c r="B5349" s="32"/>
    </row>
    <row r="5350" spans="1:2" x14ac:dyDescent="0.35">
      <c r="A5350" s="32"/>
      <c r="B5350" s="32"/>
    </row>
    <row r="5351" spans="1:2" x14ac:dyDescent="0.35">
      <c r="A5351" s="32"/>
      <c r="B5351" s="32"/>
    </row>
    <row r="5352" spans="1:2" x14ac:dyDescent="0.35">
      <c r="A5352" s="32"/>
      <c r="B5352" s="32"/>
    </row>
    <row r="5353" spans="1:2" x14ac:dyDescent="0.35">
      <c r="A5353" s="32"/>
      <c r="B5353" s="32"/>
    </row>
    <row r="5354" spans="1:2" x14ac:dyDescent="0.35">
      <c r="A5354" s="32"/>
      <c r="B5354" s="32"/>
    </row>
    <row r="5355" spans="1:2" x14ac:dyDescent="0.35">
      <c r="A5355" s="32"/>
      <c r="B5355" s="32"/>
    </row>
    <row r="5356" spans="1:2" x14ac:dyDescent="0.35">
      <c r="A5356" s="32"/>
      <c r="B5356" s="32"/>
    </row>
    <row r="5357" spans="1:2" x14ac:dyDescent="0.35">
      <c r="A5357" s="32"/>
      <c r="B5357" s="32"/>
    </row>
    <row r="5358" spans="1:2" x14ac:dyDescent="0.35">
      <c r="A5358" s="32"/>
      <c r="B5358" s="32"/>
    </row>
    <row r="5359" spans="1:2" x14ac:dyDescent="0.35">
      <c r="A5359" s="32"/>
      <c r="B5359" s="32"/>
    </row>
    <row r="5360" spans="1:2" x14ac:dyDescent="0.35">
      <c r="A5360" s="32"/>
      <c r="B5360" s="32"/>
    </row>
    <row r="5361" spans="1:2" x14ac:dyDescent="0.35">
      <c r="A5361" s="32"/>
      <c r="B5361" s="32"/>
    </row>
    <row r="5362" spans="1:2" x14ac:dyDescent="0.35">
      <c r="A5362" s="32"/>
      <c r="B5362" s="32"/>
    </row>
    <row r="5363" spans="1:2" x14ac:dyDescent="0.35">
      <c r="A5363" s="32"/>
      <c r="B5363" s="32"/>
    </row>
    <row r="5364" spans="1:2" x14ac:dyDescent="0.35">
      <c r="A5364" s="32"/>
      <c r="B5364" s="32"/>
    </row>
    <row r="5365" spans="1:2" x14ac:dyDescent="0.35">
      <c r="A5365" s="32"/>
      <c r="B5365" s="32"/>
    </row>
    <row r="5366" spans="1:2" x14ac:dyDescent="0.35">
      <c r="A5366" s="32"/>
      <c r="B5366" s="32"/>
    </row>
    <row r="5367" spans="1:2" x14ac:dyDescent="0.35">
      <c r="A5367" s="32"/>
      <c r="B5367" s="32"/>
    </row>
    <row r="5368" spans="1:2" x14ac:dyDescent="0.35">
      <c r="A5368" s="32"/>
      <c r="B5368" s="32"/>
    </row>
    <row r="5369" spans="1:2" x14ac:dyDescent="0.35">
      <c r="A5369" s="32"/>
      <c r="B5369" s="32"/>
    </row>
    <row r="5370" spans="1:2" x14ac:dyDescent="0.35">
      <c r="A5370" s="32"/>
      <c r="B5370" s="32"/>
    </row>
    <row r="5371" spans="1:2" x14ac:dyDescent="0.35">
      <c r="A5371" s="32"/>
      <c r="B5371" s="32"/>
    </row>
    <row r="5372" spans="1:2" x14ac:dyDescent="0.35">
      <c r="A5372" s="32"/>
      <c r="B5372" s="32"/>
    </row>
    <row r="5373" spans="1:2" x14ac:dyDescent="0.35">
      <c r="A5373" s="32"/>
      <c r="B5373" s="32"/>
    </row>
    <row r="5374" spans="1:2" x14ac:dyDescent="0.35">
      <c r="A5374" s="32"/>
      <c r="B5374" s="32"/>
    </row>
    <row r="5375" spans="1:2" x14ac:dyDescent="0.35">
      <c r="A5375" s="32"/>
      <c r="B5375" s="32"/>
    </row>
    <row r="5376" spans="1:2" x14ac:dyDescent="0.35">
      <c r="A5376" s="32"/>
      <c r="B5376" s="32"/>
    </row>
    <row r="5377" spans="1:2" x14ac:dyDescent="0.35">
      <c r="A5377" s="32"/>
      <c r="B5377" s="32"/>
    </row>
    <row r="5378" spans="1:2" x14ac:dyDescent="0.35">
      <c r="A5378" s="32"/>
      <c r="B5378" s="32"/>
    </row>
    <row r="5379" spans="1:2" x14ac:dyDescent="0.35">
      <c r="A5379" s="32"/>
      <c r="B5379" s="32"/>
    </row>
    <row r="5380" spans="1:2" x14ac:dyDescent="0.35">
      <c r="A5380" s="32"/>
      <c r="B5380" s="32"/>
    </row>
    <row r="5381" spans="1:2" x14ac:dyDescent="0.35">
      <c r="A5381" s="32"/>
      <c r="B5381" s="32"/>
    </row>
    <row r="5382" spans="1:2" x14ac:dyDescent="0.35">
      <c r="A5382" s="32"/>
      <c r="B5382" s="32"/>
    </row>
    <row r="5383" spans="1:2" x14ac:dyDescent="0.35">
      <c r="A5383" s="32"/>
      <c r="B5383" s="32"/>
    </row>
    <row r="5384" spans="1:2" x14ac:dyDescent="0.35">
      <c r="A5384" s="32"/>
      <c r="B5384" s="32"/>
    </row>
    <row r="5385" spans="1:2" x14ac:dyDescent="0.35">
      <c r="A5385" s="32"/>
      <c r="B5385" s="32"/>
    </row>
    <row r="5386" spans="1:2" x14ac:dyDescent="0.35">
      <c r="A5386" s="32"/>
      <c r="B5386" s="32"/>
    </row>
    <row r="5387" spans="1:2" x14ac:dyDescent="0.35">
      <c r="A5387" s="32"/>
      <c r="B5387" s="32"/>
    </row>
    <row r="5388" spans="1:2" x14ac:dyDescent="0.35">
      <c r="A5388" s="32"/>
      <c r="B5388" s="32"/>
    </row>
    <row r="5389" spans="1:2" x14ac:dyDescent="0.35">
      <c r="A5389" s="32"/>
      <c r="B5389" s="32"/>
    </row>
    <row r="5390" spans="1:2" x14ac:dyDescent="0.35">
      <c r="A5390" s="32"/>
      <c r="B5390" s="32"/>
    </row>
    <row r="5391" spans="1:2" x14ac:dyDescent="0.35">
      <c r="A5391" s="32"/>
      <c r="B5391" s="32"/>
    </row>
    <row r="5392" spans="1:2" x14ac:dyDescent="0.35">
      <c r="A5392" s="32"/>
      <c r="B5392" s="32"/>
    </row>
    <row r="5393" spans="1:2" x14ac:dyDescent="0.35">
      <c r="A5393" s="32"/>
      <c r="B5393" s="32"/>
    </row>
    <row r="5394" spans="1:2" x14ac:dyDescent="0.35">
      <c r="A5394" s="32"/>
      <c r="B5394" s="32"/>
    </row>
    <row r="5395" spans="1:2" x14ac:dyDescent="0.35">
      <c r="A5395" s="32"/>
      <c r="B5395" s="32"/>
    </row>
    <row r="5396" spans="1:2" x14ac:dyDescent="0.35">
      <c r="A5396" s="32"/>
      <c r="B5396" s="32"/>
    </row>
    <row r="5397" spans="1:2" x14ac:dyDescent="0.35">
      <c r="A5397" s="32"/>
      <c r="B5397" s="32"/>
    </row>
    <row r="5398" spans="1:2" x14ac:dyDescent="0.35">
      <c r="A5398" s="32"/>
      <c r="B5398" s="32"/>
    </row>
    <row r="5399" spans="1:2" x14ac:dyDescent="0.35">
      <c r="A5399" s="32"/>
      <c r="B5399" s="32"/>
    </row>
    <row r="5400" spans="1:2" x14ac:dyDescent="0.35">
      <c r="A5400" s="32"/>
      <c r="B5400" s="32"/>
    </row>
    <row r="5401" spans="1:2" x14ac:dyDescent="0.35">
      <c r="A5401" s="32"/>
      <c r="B5401" s="32"/>
    </row>
    <row r="5402" spans="1:2" x14ac:dyDescent="0.35">
      <c r="A5402" s="32"/>
      <c r="B5402" s="32"/>
    </row>
    <row r="5403" spans="1:2" x14ac:dyDescent="0.35">
      <c r="A5403" s="32"/>
      <c r="B5403" s="32"/>
    </row>
    <row r="5404" spans="1:2" x14ac:dyDescent="0.35">
      <c r="A5404" s="32"/>
      <c r="B5404" s="32"/>
    </row>
    <row r="5405" spans="1:2" x14ac:dyDescent="0.35">
      <c r="A5405" s="32"/>
      <c r="B5405" s="32"/>
    </row>
    <row r="5406" spans="1:2" x14ac:dyDescent="0.35">
      <c r="A5406" s="32"/>
      <c r="B5406" s="32"/>
    </row>
    <row r="5407" spans="1:2" x14ac:dyDescent="0.35">
      <c r="A5407" s="32"/>
      <c r="B5407" s="32"/>
    </row>
    <row r="5408" spans="1:2" x14ac:dyDescent="0.35">
      <c r="A5408" s="32"/>
      <c r="B5408" s="32"/>
    </row>
    <row r="5409" spans="1:2" x14ac:dyDescent="0.35">
      <c r="A5409" s="32"/>
      <c r="B5409" s="32"/>
    </row>
    <row r="5410" spans="1:2" x14ac:dyDescent="0.35">
      <c r="A5410" s="32"/>
      <c r="B5410" s="32"/>
    </row>
    <row r="5411" spans="1:2" x14ac:dyDescent="0.35">
      <c r="A5411" s="32"/>
      <c r="B5411" s="32"/>
    </row>
    <row r="5412" spans="1:2" x14ac:dyDescent="0.35">
      <c r="A5412" s="32"/>
      <c r="B5412" s="32"/>
    </row>
    <row r="5413" spans="1:2" x14ac:dyDescent="0.35">
      <c r="A5413" s="32"/>
      <c r="B5413" s="32"/>
    </row>
    <row r="5414" spans="1:2" x14ac:dyDescent="0.35">
      <c r="A5414" s="32"/>
      <c r="B5414" s="32"/>
    </row>
    <row r="5415" spans="1:2" x14ac:dyDescent="0.35">
      <c r="A5415" s="32"/>
      <c r="B5415" s="32"/>
    </row>
    <row r="5416" spans="1:2" x14ac:dyDescent="0.35">
      <c r="A5416" s="32"/>
      <c r="B5416" s="32"/>
    </row>
    <row r="5417" spans="1:2" x14ac:dyDescent="0.35">
      <c r="A5417" s="32"/>
      <c r="B5417" s="32"/>
    </row>
    <row r="5418" spans="1:2" x14ac:dyDescent="0.35">
      <c r="A5418" s="32"/>
      <c r="B5418" s="32"/>
    </row>
    <row r="5419" spans="1:2" x14ac:dyDescent="0.35">
      <c r="A5419" s="32"/>
      <c r="B5419" s="32"/>
    </row>
    <row r="5420" spans="1:2" x14ac:dyDescent="0.35">
      <c r="A5420" s="32"/>
      <c r="B5420" s="32"/>
    </row>
    <row r="5421" spans="1:2" x14ac:dyDescent="0.35">
      <c r="A5421" s="32"/>
      <c r="B5421" s="32"/>
    </row>
    <row r="5422" spans="1:2" x14ac:dyDescent="0.35">
      <c r="A5422" s="32"/>
      <c r="B5422" s="32"/>
    </row>
    <row r="5423" spans="1:2" x14ac:dyDescent="0.35">
      <c r="A5423" s="32"/>
      <c r="B5423" s="32"/>
    </row>
    <row r="5424" spans="1:2" x14ac:dyDescent="0.35">
      <c r="A5424" s="32"/>
      <c r="B5424" s="32"/>
    </row>
    <row r="5425" spans="1:2" x14ac:dyDescent="0.35">
      <c r="A5425" s="32"/>
      <c r="B5425" s="32"/>
    </row>
    <row r="5426" spans="1:2" x14ac:dyDescent="0.35">
      <c r="A5426" s="32"/>
      <c r="B5426" s="32"/>
    </row>
    <row r="5427" spans="1:2" x14ac:dyDescent="0.35">
      <c r="A5427" s="32"/>
      <c r="B5427" s="32"/>
    </row>
    <row r="5428" spans="1:2" x14ac:dyDescent="0.35">
      <c r="A5428" s="32"/>
      <c r="B5428" s="32"/>
    </row>
    <row r="5429" spans="1:2" x14ac:dyDescent="0.35">
      <c r="A5429" s="32"/>
      <c r="B5429" s="32"/>
    </row>
    <row r="5430" spans="1:2" x14ac:dyDescent="0.35">
      <c r="A5430" s="32"/>
      <c r="B5430" s="32"/>
    </row>
    <row r="5431" spans="1:2" x14ac:dyDescent="0.35">
      <c r="A5431" s="32"/>
      <c r="B5431" s="32"/>
    </row>
    <row r="5432" spans="1:2" x14ac:dyDescent="0.35">
      <c r="A5432" s="32"/>
      <c r="B5432" s="32"/>
    </row>
    <row r="5433" spans="1:2" x14ac:dyDescent="0.35">
      <c r="A5433" s="32"/>
      <c r="B5433" s="32"/>
    </row>
    <row r="5434" spans="1:2" x14ac:dyDescent="0.35">
      <c r="A5434" s="32"/>
      <c r="B5434" s="32"/>
    </row>
    <row r="5435" spans="1:2" x14ac:dyDescent="0.35">
      <c r="A5435" s="32"/>
      <c r="B5435" s="32"/>
    </row>
    <row r="5436" spans="1:2" x14ac:dyDescent="0.35">
      <c r="A5436" s="32"/>
      <c r="B5436" s="32"/>
    </row>
    <row r="5437" spans="1:2" x14ac:dyDescent="0.35">
      <c r="A5437" s="32"/>
      <c r="B5437" s="32"/>
    </row>
    <row r="5438" spans="1:2" x14ac:dyDescent="0.35">
      <c r="A5438" s="32"/>
      <c r="B5438" s="32"/>
    </row>
    <row r="5439" spans="1:2" x14ac:dyDescent="0.35">
      <c r="A5439" s="32"/>
      <c r="B5439" s="32"/>
    </row>
    <row r="5440" spans="1:2" x14ac:dyDescent="0.35">
      <c r="A5440" s="32"/>
      <c r="B5440" s="32"/>
    </row>
    <row r="5441" spans="1:2" x14ac:dyDescent="0.35">
      <c r="A5441" s="32"/>
      <c r="B5441" s="32"/>
    </row>
    <row r="5442" spans="1:2" x14ac:dyDescent="0.35">
      <c r="A5442" s="32"/>
      <c r="B5442" s="32"/>
    </row>
    <row r="5443" spans="1:2" x14ac:dyDescent="0.35">
      <c r="A5443" s="32"/>
      <c r="B5443" s="32"/>
    </row>
    <row r="5444" spans="1:2" x14ac:dyDescent="0.35">
      <c r="A5444" s="32"/>
      <c r="B5444" s="32"/>
    </row>
    <row r="5445" spans="1:2" x14ac:dyDescent="0.35">
      <c r="A5445" s="32"/>
      <c r="B5445" s="32"/>
    </row>
    <row r="5446" spans="1:2" x14ac:dyDescent="0.35">
      <c r="A5446" s="32"/>
      <c r="B5446" s="32"/>
    </row>
    <row r="5447" spans="1:2" x14ac:dyDescent="0.35">
      <c r="A5447" s="32"/>
      <c r="B5447" s="32"/>
    </row>
    <row r="5448" spans="1:2" x14ac:dyDescent="0.35">
      <c r="A5448" s="32"/>
      <c r="B5448" s="32"/>
    </row>
    <row r="5449" spans="1:2" x14ac:dyDescent="0.35">
      <c r="A5449" s="32"/>
      <c r="B5449" s="32"/>
    </row>
    <row r="5450" spans="1:2" x14ac:dyDescent="0.35">
      <c r="A5450" s="32"/>
      <c r="B5450" s="32"/>
    </row>
    <row r="5451" spans="1:2" x14ac:dyDescent="0.35">
      <c r="A5451" s="32"/>
      <c r="B5451" s="32"/>
    </row>
    <row r="5452" spans="1:2" x14ac:dyDescent="0.35">
      <c r="A5452" s="32"/>
      <c r="B5452" s="32"/>
    </row>
    <row r="5453" spans="1:2" x14ac:dyDescent="0.35">
      <c r="A5453" s="32"/>
      <c r="B5453" s="32"/>
    </row>
    <row r="5454" spans="1:2" x14ac:dyDescent="0.35">
      <c r="A5454" s="32"/>
      <c r="B5454" s="32"/>
    </row>
    <row r="5455" spans="1:2" x14ac:dyDescent="0.35">
      <c r="A5455" s="32"/>
      <c r="B5455" s="32"/>
    </row>
    <row r="5456" spans="1:2" x14ac:dyDescent="0.35">
      <c r="A5456" s="32"/>
      <c r="B5456" s="32"/>
    </row>
    <row r="5457" spans="1:2" x14ac:dyDescent="0.35">
      <c r="A5457" s="32"/>
      <c r="B5457" s="32"/>
    </row>
    <row r="5458" spans="1:2" x14ac:dyDescent="0.35">
      <c r="A5458" s="32"/>
      <c r="B5458" s="32"/>
    </row>
    <row r="5459" spans="1:2" x14ac:dyDescent="0.35">
      <c r="A5459" s="32"/>
      <c r="B5459" s="32"/>
    </row>
    <row r="5460" spans="1:2" x14ac:dyDescent="0.35">
      <c r="A5460" s="32"/>
      <c r="B5460" s="32"/>
    </row>
    <row r="5461" spans="1:2" x14ac:dyDescent="0.35">
      <c r="A5461" s="32"/>
      <c r="B5461" s="32"/>
    </row>
    <row r="5462" spans="1:2" x14ac:dyDescent="0.35">
      <c r="A5462" s="32"/>
      <c r="B5462" s="32"/>
    </row>
    <row r="5463" spans="1:2" x14ac:dyDescent="0.35">
      <c r="A5463" s="32"/>
      <c r="B5463" s="32"/>
    </row>
    <row r="5464" spans="1:2" x14ac:dyDescent="0.35">
      <c r="A5464" s="32"/>
      <c r="B5464" s="32"/>
    </row>
    <row r="5465" spans="1:2" x14ac:dyDescent="0.35">
      <c r="A5465" s="32"/>
      <c r="B5465" s="32"/>
    </row>
    <row r="5466" spans="1:2" x14ac:dyDescent="0.35">
      <c r="A5466" s="32"/>
      <c r="B5466" s="32"/>
    </row>
    <row r="5467" spans="1:2" x14ac:dyDescent="0.35">
      <c r="A5467" s="32"/>
      <c r="B5467" s="32"/>
    </row>
    <row r="5468" spans="1:2" x14ac:dyDescent="0.35">
      <c r="A5468" s="32"/>
      <c r="B5468" s="32"/>
    </row>
    <row r="5469" spans="1:2" x14ac:dyDescent="0.35">
      <c r="A5469" s="32"/>
      <c r="B5469" s="32"/>
    </row>
    <row r="5470" spans="1:2" x14ac:dyDescent="0.35">
      <c r="A5470" s="32"/>
      <c r="B5470" s="32"/>
    </row>
    <row r="5471" spans="1:2" x14ac:dyDescent="0.35">
      <c r="A5471" s="32"/>
      <c r="B5471" s="32"/>
    </row>
    <row r="5472" spans="1:2" x14ac:dyDescent="0.35">
      <c r="A5472" s="32"/>
      <c r="B5472" s="32"/>
    </row>
    <row r="5473" spans="1:2" x14ac:dyDescent="0.35">
      <c r="A5473" s="32"/>
      <c r="B5473" s="32"/>
    </row>
    <row r="5474" spans="1:2" x14ac:dyDescent="0.35">
      <c r="A5474" s="32"/>
      <c r="B5474" s="32"/>
    </row>
    <row r="5475" spans="1:2" x14ac:dyDescent="0.35">
      <c r="A5475" s="32"/>
      <c r="B5475" s="32"/>
    </row>
    <row r="5476" spans="1:2" x14ac:dyDescent="0.35">
      <c r="A5476" s="32"/>
      <c r="B5476" s="32"/>
    </row>
    <row r="5477" spans="1:2" x14ac:dyDescent="0.35">
      <c r="A5477" s="32"/>
      <c r="B5477" s="32"/>
    </row>
    <row r="5478" spans="1:2" x14ac:dyDescent="0.35">
      <c r="A5478" s="32"/>
      <c r="B5478" s="32"/>
    </row>
    <row r="5479" spans="1:2" x14ac:dyDescent="0.35">
      <c r="A5479" s="32"/>
      <c r="B5479" s="32"/>
    </row>
    <row r="5480" spans="1:2" x14ac:dyDescent="0.35">
      <c r="A5480" s="32"/>
      <c r="B5480" s="32"/>
    </row>
    <row r="5481" spans="1:2" x14ac:dyDescent="0.35">
      <c r="A5481" s="32"/>
      <c r="B5481" s="32"/>
    </row>
    <row r="5482" spans="1:2" x14ac:dyDescent="0.35">
      <c r="A5482" s="32"/>
      <c r="B5482" s="32"/>
    </row>
    <row r="5483" spans="1:2" x14ac:dyDescent="0.35">
      <c r="A5483" s="32"/>
      <c r="B5483" s="32"/>
    </row>
    <row r="5484" spans="1:2" x14ac:dyDescent="0.35">
      <c r="A5484" s="32"/>
      <c r="B5484" s="32"/>
    </row>
    <row r="5485" spans="1:2" x14ac:dyDescent="0.35">
      <c r="A5485" s="32"/>
      <c r="B5485" s="32"/>
    </row>
    <row r="5486" spans="1:2" x14ac:dyDescent="0.35">
      <c r="A5486" s="32"/>
      <c r="B5486" s="32"/>
    </row>
    <row r="5487" spans="1:2" x14ac:dyDescent="0.35">
      <c r="A5487" s="32"/>
      <c r="B5487" s="32"/>
    </row>
    <row r="5488" spans="1:2" x14ac:dyDescent="0.35">
      <c r="A5488" s="32"/>
      <c r="B5488" s="32"/>
    </row>
    <row r="5489" spans="1:2" x14ac:dyDescent="0.35">
      <c r="A5489" s="32"/>
      <c r="B5489" s="32"/>
    </row>
    <row r="5490" spans="1:2" x14ac:dyDescent="0.35">
      <c r="A5490" s="32"/>
      <c r="B5490" s="32"/>
    </row>
    <row r="5491" spans="1:2" x14ac:dyDescent="0.35">
      <c r="A5491" s="32"/>
      <c r="B5491" s="32"/>
    </row>
    <row r="5492" spans="1:2" x14ac:dyDescent="0.35">
      <c r="A5492" s="32"/>
      <c r="B5492" s="32"/>
    </row>
    <row r="5493" spans="1:2" x14ac:dyDescent="0.35">
      <c r="A5493" s="32"/>
      <c r="B5493" s="32"/>
    </row>
    <row r="5494" spans="1:2" x14ac:dyDescent="0.35">
      <c r="A5494" s="32"/>
      <c r="B5494" s="32"/>
    </row>
    <row r="5495" spans="1:2" x14ac:dyDescent="0.35">
      <c r="A5495" s="32"/>
      <c r="B5495" s="32"/>
    </row>
    <row r="5496" spans="1:2" x14ac:dyDescent="0.35">
      <c r="A5496" s="32"/>
      <c r="B5496" s="32"/>
    </row>
    <row r="5497" spans="1:2" x14ac:dyDescent="0.35">
      <c r="A5497" s="32"/>
      <c r="B5497" s="32"/>
    </row>
    <row r="5498" spans="1:2" x14ac:dyDescent="0.35">
      <c r="A5498" s="32"/>
      <c r="B5498" s="32"/>
    </row>
    <row r="5499" spans="1:2" x14ac:dyDescent="0.35">
      <c r="A5499" s="32"/>
      <c r="B5499" s="32"/>
    </row>
    <row r="5500" spans="1:2" x14ac:dyDescent="0.35">
      <c r="A5500" s="32"/>
      <c r="B5500" s="32"/>
    </row>
    <row r="5501" spans="1:2" x14ac:dyDescent="0.35">
      <c r="A5501" s="32"/>
      <c r="B5501" s="32"/>
    </row>
    <row r="5502" spans="1:2" x14ac:dyDescent="0.35">
      <c r="A5502" s="32"/>
      <c r="B5502" s="32"/>
    </row>
    <row r="5503" spans="1:2" x14ac:dyDescent="0.35">
      <c r="A5503" s="32"/>
      <c r="B5503" s="32"/>
    </row>
    <row r="5504" spans="1:2" x14ac:dyDescent="0.35">
      <c r="A5504" s="32"/>
      <c r="B5504" s="32"/>
    </row>
    <row r="5505" spans="1:2" x14ac:dyDescent="0.35">
      <c r="A5505" s="32"/>
      <c r="B5505" s="32"/>
    </row>
    <row r="5506" spans="1:2" x14ac:dyDescent="0.35">
      <c r="A5506" s="32"/>
      <c r="B5506" s="32"/>
    </row>
    <row r="5507" spans="1:2" x14ac:dyDescent="0.35">
      <c r="A5507" s="32"/>
      <c r="B5507" s="32"/>
    </row>
    <row r="5508" spans="1:2" x14ac:dyDescent="0.35">
      <c r="A5508" s="32"/>
      <c r="B5508" s="32"/>
    </row>
    <row r="5509" spans="1:2" x14ac:dyDescent="0.35">
      <c r="A5509" s="32"/>
      <c r="B5509" s="32"/>
    </row>
    <row r="5510" spans="1:2" x14ac:dyDescent="0.35">
      <c r="A5510" s="32"/>
      <c r="B5510" s="32"/>
    </row>
    <row r="5511" spans="1:2" x14ac:dyDescent="0.35">
      <c r="A5511" s="32"/>
      <c r="B5511" s="32"/>
    </row>
    <row r="5512" spans="1:2" x14ac:dyDescent="0.35">
      <c r="A5512" s="32"/>
      <c r="B5512" s="32"/>
    </row>
    <row r="5513" spans="1:2" x14ac:dyDescent="0.35">
      <c r="A5513" s="32"/>
      <c r="B5513" s="32"/>
    </row>
    <row r="5514" spans="1:2" x14ac:dyDescent="0.35">
      <c r="A5514" s="32"/>
      <c r="B5514" s="32"/>
    </row>
    <row r="5515" spans="1:2" x14ac:dyDescent="0.35">
      <c r="A5515" s="32"/>
      <c r="B5515" s="32"/>
    </row>
    <row r="5516" spans="1:2" x14ac:dyDescent="0.35">
      <c r="A5516" s="32"/>
      <c r="B5516" s="32"/>
    </row>
    <row r="5517" spans="1:2" x14ac:dyDescent="0.35">
      <c r="A5517" s="32"/>
      <c r="B5517" s="32"/>
    </row>
    <row r="5518" spans="1:2" x14ac:dyDescent="0.35">
      <c r="A5518" s="32"/>
      <c r="B5518" s="32"/>
    </row>
    <row r="5519" spans="1:2" x14ac:dyDescent="0.35">
      <c r="A5519" s="32"/>
      <c r="B5519" s="32"/>
    </row>
    <row r="5520" spans="1:2" x14ac:dyDescent="0.35">
      <c r="A5520" s="32"/>
      <c r="B5520" s="32"/>
    </row>
    <row r="5521" spans="1:2" x14ac:dyDescent="0.35">
      <c r="A5521" s="32"/>
      <c r="B5521" s="32"/>
    </row>
    <row r="5522" spans="1:2" x14ac:dyDescent="0.35">
      <c r="A5522" s="32"/>
      <c r="B5522" s="32"/>
    </row>
    <row r="5523" spans="1:2" x14ac:dyDescent="0.35">
      <c r="A5523" s="32"/>
      <c r="B5523" s="32"/>
    </row>
    <row r="5524" spans="1:2" x14ac:dyDescent="0.35">
      <c r="A5524" s="32"/>
      <c r="B5524" s="32"/>
    </row>
    <row r="5525" spans="1:2" x14ac:dyDescent="0.35">
      <c r="A5525" s="32"/>
      <c r="B5525" s="32"/>
    </row>
    <row r="5526" spans="1:2" x14ac:dyDescent="0.35">
      <c r="A5526" s="32"/>
      <c r="B5526" s="32"/>
    </row>
    <row r="5527" spans="1:2" x14ac:dyDescent="0.35">
      <c r="A5527" s="32"/>
      <c r="B5527" s="32"/>
    </row>
    <row r="5528" spans="1:2" x14ac:dyDescent="0.35">
      <c r="A5528" s="32"/>
      <c r="B5528" s="32"/>
    </row>
    <row r="5529" spans="1:2" x14ac:dyDescent="0.35">
      <c r="A5529" s="32"/>
      <c r="B5529" s="32"/>
    </row>
    <row r="5530" spans="1:2" x14ac:dyDescent="0.35">
      <c r="A5530" s="32"/>
      <c r="B5530" s="32"/>
    </row>
    <row r="5531" spans="1:2" x14ac:dyDescent="0.35">
      <c r="A5531" s="32"/>
      <c r="B5531" s="32"/>
    </row>
    <row r="5532" spans="1:2" x14ac:dyDescent="0.35">
      <c r="A5532" s="32"/>
      <c r="B5532" s="32"/>
    </row>
    <row r="5533" spans="1:2" x14ac:dyDescent="0.35">
      <c r="A5533" s="32"/>
      <c r="B5533" s="32"/>
    </row>
    <row r="5534" spans="1:2" x14ac:dyDescent="0.35">
      <c r="A5534" s="32"/>
      <c r="B5534" s="32"/>
    </row>
    <row r="5535" spans="1:2" x14ac:dyDescent="0.35">
      <c r="A5535" s="32"/>
      <c r="B5535" s="32"/>
    </row>
    <row r="5536" spans="1:2" x14ac:dyDescent="0.35">
      <c r="A5536" s="32"/>
      <c r="B5536" s="32"/>
    </row>
    <row r="5537" spans="1:2" x14ac:dyDescent="0.35">
      <c r="A5537" s="32"/>
      <c r="B5537" s="32"/>
    </row>
    <row r="5538" spans="1:2" x14ac:dyDescent="0.35">
      <c r="A5538" s="32"/>
      <c r="B5538" s="32"/>
    </row>
    <row r="5539" spans="1:2" x14ac:dyDescent="0.35">
      <c r="A5539" s="32"/>
      <c r="B5539" s="32"/>
    </row>
    <row r="5540" spans="1:2" x14ac:dyDescent="0.35">
      <c r="A5540" s="32"/>
      <c r="B5540" s="32"/>
    </row>
    <row r="5541" spans="1:2" x14ac:dyDescent="0.35">
      <c r="A5541" s="32"/>
      <c r="B5541" s="32"/>
    </row>
    <row r="5542" spans="1:2" x14ac:dyDescent="0.35">
      <c r="A5542" s="32"/>
      <c r="B5542" s="32"/>
    </row>
    <row r="5543" spans="1:2" x14ac:dyDescent="0.35">
      <c r="A5543" s="32"/>
      <c r="B5543" s="32"/>
    </row>
    <row r="5544" spans="1:2" x14ac:dyDescent="0.35">
      <c r="A5544" s="32"/>
      <c r="B5544" s="32"/>
    </row>
    <row r="5545" spans="1:2" x14ac:dyDescent="0.35">
      <c r="A5545" s="32"/>
      <c r="B5545" s="32"/>
    </row>
    <row r="5546" spans="1:2" x14ac:dyDescent="0.35">
      <c r="A5546" s="32"/>
      <c r="B5546" s="32"/>
    </row>
    <row r="5547" spans="1:2" x14ac:dyDescent="0.35">
      <c r="A5547" s="32"/>
      <c r="B5547" s="32"/>
    </row>
    <row r="5548" spans="1:2" x14ac:dyDescent="0.35">
      <c r="A5548" s="32"/>
      <c r="B5548" s="32"/>
    </row>
    <row r="5549" spans="1:2" x14ac:dyDescent="0.35">
      <c r="A5549" s="32"/>
      <c r="B5549" s="32"/>
    </row>
    <row r="5550" spans="1:2" x14ac:dyDescent="0.35">
      <c r="A5550" s="32"/>
      <c r="B5550" s="32"/>
    </row>
    <row r="5551" spans="1:2" x14ac:dyDescent="0.35">
      <c r="A5551" s="32"/>
      <c r="B5551" s="32"/>
    </row>
    <row r="5552" spans="1:2" x14ac:dyDescent="0.35">
      <c r="A5552" s="32"/>
      <c r="B5552" s="32"/>
    </row>
    <row r="5553" spans="1:2" x14ac:dyDescent="0.35">
      <c r="A5553" s="32"/>
      <c r="B5553" s="32"/>
    </row>
    <row r="5554" spans="1:2" x14ac:dyDescent="0.35">
      <c r="A5554" s="32"/>
      <c r="B5554" s="32"/>
    </row>
    <row r="5555" spans="1:2" x14ac:dyDescent="0.35">
      <c r="A5555" s="32"/>
      <c r="B5555" s="32"/>
    </row>
    <row r="5556" spans="1:2" x14ac:dyDescent="0.35">
      <c r="A5556" s="32"/>
      <c r="B5556" s="32"/>
    </row>
    <row r="5557" spans="1:2" x14ac:dyDescent="0.35">
      <c r="A5557" s="32"/>
      <c r="B5557" s="32"/>
    </row>
    <row r="5558" spans="1:2" x14ac:dyDescent="0.35">
      <c r="A5558" s="32"/>
      <c r="B5558" s="32"/>
    </row>
    <row r="5559" spans="1:2" x14ac:dyDescent="0.35">
      <c r="A5559" s="32"/>
      <c r="B5559" s="32"/>
    </row>
    <row r="5560" spans="1:2" x14ac:dyDescent="0.35">
      <c r="A5560" s="32"/>
      <c r="B5560" s="32"/>
    </row>
    <row r="5561" spans="1:2" x14ac:dyDescent="0.35">
      <c r="A5561" s="32"/>
      <c r="B5561" s="32"/>
    </row>
    <row r="5562" spans="1:2" x14ac:dyDescent="0.35">
      <c r="A5562" s="32"/>
      <c r="B5562" s="32"/>
    </row>
    <row r="5563" spans="1:2" x14ac:dyDescent="0.35">
      <c r="A5563" s="32"/>
      <c r="B5563" s="32"/>
    </row>
    <row r="5564" spans="1:2" x14ac:dyDescent="0.35">
      <c r="A5564" s="32"/>
      <c r="B5564" s="32"/>
    </row>
    <row r="5565" spans="1:2" x14ac:dyDescent="0.35">
      <c r="A5565" s="32"/>
      <c r="B5565" s="32"/>
    </row>
    <row r="5566" spans="1:2" x14ac:dyDescent="0.35">
      <c r="A5566" s="32"/>
      <c r="B5566" s="32"/>
    </row>
    <row r="5567" spans="1:2" x14ac:dyDescent="0.35">
      <c r="A5567" s="32"/>
      <c r="B5567" s="32"/>
    </row>
    <row r="5568" spans="1:2" x14ac:dyDescent="0.35">
      <c r="A5568" s="32"/>
      <c r="B5568" s="32"/>
    </row>
    <row r="5569" spans="1:2" x14ac:dyDescent="0.35">
      <c r="A5569" s="32"/>
      <c r="B5569" s="32"/>
    </row>
    <row r="5570" spans="1:2" x14ac:dyDescent="0.35">
      <c r="A5570" s="32"/>
      <c r="B5570" s="32"/>
    </row>
    <row r="5571" spans="1:2" x14ac:dyDescent="0.35">
      <c r="A5571" s="32"/>
      <c r="B5571" s="32"/>
    </row>
    <row r="5572" spans="1:2" x14ac:dyDescent="0.35">
      <c r="A5572" s="32"/>
      <c r="B5572" s="32"/>
    </row>
    <row r="5573" spans="1:2" x14ac:dyDescent="0.35">
      <c r="A5573" s="32"/>
      <c r="B5573" s="32"/>
    </row>
    <row r="5574" spans="1:2" x14ac:dyDescent="0.35">
      <c r="A5574" s="32"/>
      <c r="B5574" s="32"/>
    </row>
    <row r="5575" spans="1:2" x14ac:dyDescent="0.35">
      <c r="A5575" s="32"/>
      <c r="B5575" s="32"/>
    </row>
    <row r="5576" spans="1:2" x14ac:dyDescent="0.35">
      <c r="A5576" s="32"/>
      <c r="B5576" s="32"/>
    </row>
    <row r="5577" spans="1:2" x14ac:dyDescent="0.35">
      <c r="A5577" s="32"/>
      <c r="B5577" s="32"/>
    </row>
    <row r="5578" spans="1:2" x14ac:dyDescent="0.35">
      <c r="A5578" s="32"/>
      <c r="B5578" s="32"/>
    </row>
    <row r="5579" spans="1:2" x14ac:dyDescent="0.35">
      <c r="A5579" s="32"/>
      <c r="B5579" s="32"/>
    </row>
    <row r="5580" spans="1:2" x14ac:dyDescent="0.35">
      <c r="A5580" s="32"/>
      <c r="B5580" s="32"/>
    </row>
    <row r="5581" spans="1:2" x14ac:dyDescent="0.35">
      <c r="A5581" s="32"/>
      <c r="B5581" s="32"/>
    </row>
    <row r="5582" spans="1:2" x14ac:dyDescent="0.35">
      <c r="A5582" s="32"/>
      <c r="B5582" s="32"/>
    </row>
    <row r="5583" spans="1:2" x14ac:dyDescent="0.35">
      <c r="A5583" s="32"/>
      <c r="B5583" s="32"/>
    </row>
    <row r="5584" spans="1:2" x14ac:dyDescent="0.35">
      <c r="A5584" s="32"/>
      <c r="B5584" s="32"/>
    </row>
    <row r="5585" spans="1:2" x14ac:dyDescent="0.35">
      <c r="A5585" s="32"/>
      <c r="B5585" s="32"/>
    </row>
    <row r="5586" spans="1:2" x14ac:dyDescent="0.35">
      <c r="A5586" s="32"/>
      <c r="B5586" s="32"/>
    </row>
    <row r="5587" spans="1:2" x14ac:dyDescent="0.35">
      <c r="A5587" s="32"/>
      <c r="B5587" s="32"/>
    </row>
    <row r="5588" spans="1:2" x14ac:dyDescent="0.35">
      <c r="A5588" s="32"/>
      <c r="B5588" s="32"/>
    </row>
    <row r="5589" spans="1:2" x14ac:dyDescent="0.35">
      <c r="A5589" s="32"/>
      <c r="B5589" s="32"/>
    </row>
    <row r="5590" spans="1:2" x14ac:dyDescent="0.35">
      <c r="A5590" s="32"/>
      <c r="B5590" s="32"/>
    </row>
    <row r="5591" spans="1:2" x14ac:dyDescent="0.35">
      <c r="A5591" s="32"/>
      <c r="B5591" s="32"/>
    </row>
    <row r="5592" spans="1:2" x14ac:dyDescent="0.35">
      <c r="A5592" s="32"/>
      <c r="B5592" s="32"/>
    </row>
    <row r="5593" spans="1:2" x14ac:dyDescent="0.35">
      <c r="A5593" s="32"/>
      <c r="B5593" s="32"/>
    </row>
    <row r="5594" spans="1:2" x14ac:dyDescent="0.35">
      <c r="A5594" s="32"/>
      <c r="B5594" s="32"/>
    </row>
    <row r="5595" spans="1:2" x14ac:dyDescent="0.35">
      <c r="A5595" s="32"/>
      <c r="B5595" s="32"/>
    </row>
    <row r="5596" spans="1:2" x14ac:dyDescent="0.35">
      <c r="A5596" s="32"/>
      <c r="B5596" s="32"/>
    </row>
    <row r="5597" spans="1:2" x14ac:dyDescent="0.35">
      <c r="A5597" s="32"/>
      <c r="B5597" s="32"/>
    </row>
    <row r="5598" spans="1:2" x14ac:dyDescent="0.35">
      <c r="A5598" s="32"/>
      <c r="B5598" s="32"/>
    </row>
    <row r="5599" spans="1:2" x14ac:dyDescent="0.35">
      <c r="A5599" s="32"/>
      <c r="B5599" s="32"/>
    </row>
    <row r="5600" spans="1:2" x14ac:dyDescent="0.35">
      <c r="A5600" s="32"/>
      <c r="B5600" s="32"/>
    </row>
    <row r="5601" spans="1:2" x14ac:dyDescent="0.35">
      <c r="A5601" s="32"/>
      <c r="B5601" s="32"/>
    </row>
    <row r="5602" spans="1:2" x14ac:dyDescent="0.35">
      <c r="A5602" s="32"/>
      <c r="B5602" s="32"/>
    </row>
    <row r="5603" spans="1:2" x14ac:dyDescent="0.35">
      <c r="A5603" s="32"/>
      <c r="B5603" s="32"/>
    </row>
    <row r="5604" spans="1:2" x14ac:dyDescent="0.35">
      <c r="A5604" s="32"/>
      <c r="B5604" s="32"/>
    </row>
    <row r="5605" spans="1:2" x14ac:dyDescent="0.35">
      <c r="A5605" s="32"/>
      <c r="B5605" s="32"/>
    </row>
    <row r="5606" spans="1:2" x14ac:dyDescent="0.35">
      <c r="A5606" s="32"/>
      <c r="B5606" s="32"/>
    </row>
    <row r="5607" spans="1:2" x14ac:dyDescent="0.35">
      <c r="A5607" s="32"/>
      <c r="B5607" s="32"/>
    </row>
    <row r="5608" spans="1:2" x14ac:dyDescent="0.35">
      <c r="A5608" s="32"/>
      <c r="B5608" s="32"/>
    </row>
    <row r="5609" spans="1:2" x14ac:dyDescent="0.35">
      <c r="A5609" s="32"/>
      <c r="B5609" s="32"/>
    </row>
    <row r="5610" spans="1:2" x14ac:dyDescent="0.35">
      <c r="A5610" s="32"/>
      <c r="B5610" s="32"/>
    </row>
    <row r="5611" spans="1:2" x14ac:dyDescent="0.35">
      <c r="A5611" s="32"/>
      <c r="B5611" s="32"/>
    </row>
    <row r="5612" spans="1:2" x14ac:dyDescent="0.35">
      <c r="A5612" s="32"/>
      <c r="B5612" s="32"/>
    </row>
    <row r="5613" spans="1:2" x14ac:dyDescent="0.35">
      <c r="A5613" s="32"/>
      <c r="B5613" s="32"/>
    </row>
    <row r="5614" spans="1:2" x14ac:dyDescent="0.35">
      <c r="A5614" s="32"/>
      <c r="B5614" s="32"/>
    </row>
    <row r="5615" spans="1:2" x14ac:dyDescent="0.35">
      <c r="A5615" s="32"/>
      <c r="B5615" s="32"/>
    </row>
    <row r="5616" spans="1:2" x14ac:dyDescent="0.35">
      <c r="A5616" s="32"/>
      <c r="B5616" s="32"/>
    </row>
    <row r="5617" spans="1:2" x14ac:dyDescent="0.35">
      <c r="A5617" s="32"/>
      <c r="B5617" s="32"/>
    </row>
    <row r="5618" spans="1:2" x14ac:dyDescent="0.35">
      <c r="A5618" s="32"/>
      <c r="B5618" s="32"/>
    </row>
    <row r="5619" spans="1:2" x14ac:dyDescent="0.35">
      <c r="A5619" s="32"/>
      <c r="B5619" s="32"/>
    </row>
    <row r="5620" spans="1:2" x14ac:dyDescent="0.35">
      <c r="A5620" s="32"/>
      <c r="B5620" s="32"/>
    </row>
    <row r="5621" spans="1:2" x14ac:dyDescent="0.35">
      <c r="A5621" s="32"/>
      <c r="B5621" s="32"/>
    </row>
    <row r="5622" spans="1:2" x14ac:dyDescent="0.35">
      <c r="A5622" s="32"/>
      <c r="B5622" s="32"/>
    </row>
    <row r="5623" spans="1:2" x14ac:dyDescent="0.35">
      <c r="A5623" s="32"/>
      <c r="B5623" s="32"/>
    </row>
    <row r="5624" spans="1:2" x14ac:dyDescent="0.35">
      <c r="A5624" s="32"/>
      <c r="B5624" s="32"/>
    </row>
    <row r="5625" spans="1:2" x14ac:dyDescent="0.35">
      <c r="A5625" s="32"/>
      <c r="B5625" s="32"/>
    </row>
    <row r="5626" spans="1:2" x14ac:dyDescent="0.35">
      <c r="A5626" s="32"/>
      <c r="B5626" s="32"/>
    </row>
    <row r="5627" spans="1:2" x14ac:dyDescent="0.35">
      <c r="A5627" s="32"/>
      <c r="B5627" s="32"/>
    </row>
    <row r="5628" spans="1:2" x14ac:dyDescent="0.35">
      <c r="A5628" s="32"/>
      <c r="B5628" s="32"/>
    </row>
    <row r="5629" spans="1:2" x14ac:dyDescent="0.35">
      <c r="A5629" s="32"/>
      <c r="B5629" s="32"/>
    </row>
    <row r="5630" spans="1:2" x14ac:dyDescent="0.35">
      <c r="A5630" s="32"/>
      <c r="B5630" s="32"/>
    </row>
    <row r="5631" spans="1:2" x14ac:dyDescent="0.35">
      <c r="A5631" s="32"/>
      <c r="B5631" s="32"/>
    </row>
    <row r="5632" spans="1:2" x14ac:dyDescent="0.35">
      <c r="A5632" s="32"/>
      <c r="B5632" s="32"/>
    </row>
    <row r="5633" spans="1:2" x14ac:dyDescent="0.35">
      <c r="A5633" s="32"/>
      <c r="B5633" s="32"/>
    </row>
    <row r="5634" spans="1:2" x14ac:dyDescent="0.35">
      <c r="A5634" s="32"/>
      <c r="B5634" s="32"/>
    </row>
    <row r="5635" spans="1:2" x14ac:dyDescent="0.35">
      <c r="A5635" s="32"/>
      <c r="B5635" s="32"/>
    </row>
    <row r="5636" spans="1:2" x14ac:dyDescent="0.35">
      <c r="A5636" s="32"/>
      <c r="B5636" s="32"/>
    </row>
    <row r="5637" spans="1:2" x14ac:dyDescent="0.35">
      <c r="A5637" s="32"/>
      <c r="B5637" s="32"/>
    </row>
    <row r="5638" spans="1:2" x14ac:dyDescent="0.35">
      <c r="A5638" s="32"/>
      <c r="B5638" s="32"/>
    </row>
    <row r="5639" spans="1:2" x14ac:dyDescent="0.35">
      <c r="A5639" s="32"/>
      <c r="B5639" s="32"/>
    </row>
    <row r="5640" spans="1:2" x14ac:dyDescent="0.35">
      <c r="A5640" s="32"/>
      <c r="B5640" s="32"/>
    </row>
    <row r="5641" spans="1:2" x14ac:dyDescent="0.35">
      <c r="A5641" s="32"/>
      <c r="B5641" s="32"/>
    </row>
    <row r="5642" spans="1:2" x14ac:dyDescent="0.35">
      <c r="A5642" s="32"/>
      <c r="B5642" s="32"/>
    </row>
    <row r="5643" spans="1:2" x14ac:dyDescent="0.35">
      <c r="A5643" s="32"/>
      <c r="B5643" s="32"/>
    </row>
    <row r="5644" spans="1:2" x14ac:dyDescent="0.35">
      <c r="A5644" s="32"/>
      <c r="B5644" s="32"/>
    </row>
    <row r="5645" spans="1:2" x14ac:dyDescent="0.35">
      <c r="A5645" s="32"/>
      <c r="B5645" s="32"/>
    </row>
    <row r="5646" spans="1:2" x14ac:dyDescent="0.35">
      <c r="A5646" s="32"/>
      <c r="B5646" s="32"/>
    </row>
    <row r="5647" spans="1:2" x14ac:dyDescent="0.35">
      <c r="A5647" s="32"/>
      <c r="B5647" s="32"/>
    </row>
    <row r="5648" spans="1:2" x14ac:dyDescent="0.35">
      <c r="A5648" s="32"/>
      <c r="B5648" s="32"/>
    </row>
    <row r="5649" spans="1:2" x14ac:dyDescent="0.35">
      <c r="A5649" s="32"/>
      <c r="B5649" s="32"/>
    </row>
    <row r="5650" spans="1:2" x14ac:dyDescent="0.35">
      <c r="A5650" s="32"/>
      <c r="B5650" s="32"/>
    </row>
    <row r="5651" spans="1:2" x14ac:dyDescent="0.35">
      <c r="A5651" s="32"/>
      <c r="B5651" s="32"/>
    </row>
    <row r="5652" spans="1:2" x14ac:dyDescent="0.35">
      <c r="A5652" s="32"/>
      <c r="B5652" s="32"/>
    </row>
    <row r="5653" spans="1:2" x14ac:dyDescent="0.35">
      <c r="A5653" s="32"/>
      <c r="B5653" s="32"/>
    </row>
    <row r="5654" spans="1:2" x14ac:dyDescent="0.35">
      <c r="A5654" s="32"/>
      <c r="B5654" s="32"/>
    </row>
    <row r="5655" spans="1:2" x14ac:dyDescent="0.35">
      <c r="A5655" s="32"/>
      <c r="B5655" s="32"/>
    </row>
    <row r="5656" spans="1:2" x14ac:dyDescent="0.35">
      <c r="A5656" s="32"/>
      <c r="B5656" s="32"/>
    </row>
    <row r="5657" spans="1:2" x14ac:dyDescent="0.35">
      <c r="A5657" s="32"/>
      <c r="B5657" s="32"/>
    </row>
    <row r="5658" spans="1:2" x14ac:dyDescent="0.35">
      <c r="A5658" s="32"/>
      <c r="B5658" s="32"/>
    </row>
    <row r="5659" spans="1:2" x14ac:dyDescent="0.35">
      <c r="A5659" s="32"/>
      <c r="B5659" s="32"/>
    </row>
    <row r="5660" spans="1:2" x14ac:dyDescent="0.35">
      <c r="A5660" s="32"/>
      <c r="B5660" s="32"/>
    </row>
    <row r="5661" spans="1:2" x14ac:dyDescent="0.35">
      <c r="A5661" s="32"/>
      <c r="B5661" s="32"/>
    </row>
    <row r="5662" spans="1:2" x14ac:dyDescent="0.35">
      <c r="A5662" s="32"/>
      <c r="B5662" s="32"/>
    </row>
    <row r="5663" spans="1:2" x14ac:dyDescent="0.35">
      <c r="A5663" s="32"/>
      <c r="B5663" s="32"/>
    </row>
    <row r="5664" spans="1:2" x14ac:dyDescent="0.35">
      <c r="A5664" s="32"/>
      <c r="B5664" s="32"/>
    </row>
    <row r="5665" spans="1:2" x14ac:dyDescent="0.35">
      <c r="A5665" s="32"/>
      <c r="B5665" s="32"/>
    </row>
    <row r="5666" spans="1:2" x14ac:dyDescent="0.35">
      <c r="A5666" s="32"/>
      <c r="B5666" s="32"/>
    </row>
    <row r="5667" spans="1:2" x14ac:dyDescent="0.35">
      <c r="A5667" s="32"/>
      <c r="B5667" s="32"/>
    </row>
    <row r="5668" spans="1:2" x14ac:dyDescent="0.35">
      <c r="A5668" s="32"/>
      <c r="B5668" s="32"/>
    </row>
    <row r="5669" spans="1:2" x14ac:dyDescent="0.35">
      <c r="A5669" s="32"/>
      <c r="B5669" s="32"/>
    </row>
    <row r="5670" spans="1:2" x14ac:dyDescent="0.35">
      <c r="A5670" s="32"/>
      <c r="B5670" s="32"/>
    </row>
    <row r="5671" spans="1:2" x14ac:dyDescent="0.35">
      <c r="A5671" s="32"/>
      <c r="B5671" s="32"/>
    </row>
    <row r="5672" spans="1:2" x14ac:dyDescent="0.35">
      <c r="A5672" s="32"/>
      <c r="B5672" s="32"/>
    </row>
    <row r="5673" spans="1:2" x14ac:dyDescent="0.35">
      <c r="A5673" s="32"/>
      <c r="B5673" s="32"/>
    </row>
    <row r="5674" spans="1:2" x14ac:dyDescent="0.35">
      <c r="A5674" s="32"/>
      <c r="B5674" s="32"/>
    </row>
    <row r="5675" spans="1:2" x14ac:dyDescent="0.35">
      <c r="A5675" s="32"/>
      <c r="B5675" s="32"/>
    </row>
    <row r="5676" spans="1:2" x14ac:dyDescent="0.35">
      <c r="A5676" s="32"/>
      <c r="B5676" s="32"/>
    </row>
    <row r="5677" spans="1:2" x14ac:dyDescent="0.35">
      <c r="A5677" s="32"/>
      <c r="B5677" s="32"/>
    </row>
    <row r="5678" spans="1:2" x14ac:dyDescent="0.35">
      <c r="A5678" s="32"/>
      <c r="B5678" s="32"/>
    </row>
    <row r="5679" spans="1:2" x14ac:dyDescent="0.35">
      <c r="A5679" s="32"/>
      <c r="B5679" s="32"/>
    </row>
    <row r="5680" spans="1:2" x14ac:dyDescent="0.35">
      <c r="A5680" s="32"/>
      <c r="B5680" s="32"/>
    </row>
    <row r="5681" spans="1:2" x14ac:dyDescent="0.35">
      <c r="A5681" s="32"/>
      <c r="B5681" s="32"/>
    </row>
    <row r="5682" spans="1:2" x14ac:dyDescent="0.35">
      <c r="A5682" s="32"/>
      <c r="B5682" s="32"/>
    </row>
    <row r="5683" spans="1:2" x14ac:dyDescent="0.35">
      <c r="A5683" s="32"/>
      <c r="B5683" s="32"/>
    </row>
    <row r="5684" spans="1:2" x14ac:dyDescent="0.35">
      <c r="A5684" s="32"/>
      <c r="B5684" s="32"/>
    </row>
    <row r="5685" spans="1:2" x14ac:dyDescent="0.35">
      <c r="A5685" s="32"/>
      <c r="B5685" s="32"/>
    </row>
    <row r="5686" spans="1:2" x14ac:dyDescent="0.35">
      <c r="A5686" s="32"/>
      <c r="B5686" s="32"/>
    </row>
    <row r="5687" spans="1:2" x14ac:dyDescent="0.35">
      <c r="A5687" s="32"/>
      <c r="B5687" s="32"/>
    </row>
    <row r="5688" spans="1:2" x14ac:dyDescent="0.35">
      <c r="A5688" s="32"/>
      <c r="B5688" s="32"/>
    </row>
    <row r="5689" spans="1:2" x14ac:dyDescent="0.35">
      <c r="A5689" s="32"/>
      <c r="B5689" s="32"/>
    </row>
    <row r="5690" spans="1:2" x14ac:dyDescent="0.35">
      <c r="A5690" s="32"/>
      <c r="B5690" s="32"/>
    </row>
    <row r="5691" spans="1:2" x14ac:dyDescent="0.35">
      <c r="A5691" s="32"/>
      <c r="B5691" s="32"/>
    </row>
    <row r="5692" spans="1:2" x14ac:dyDescent="0.35">
      <c r="A5692" s="32"/>
      <c r="B5692" s="32"/>
    </row>
    <row r="5693" spans="1:2" x14ac:dyDescent="0.35">
      <c r="A5693" s="32"/>
      <c r="B5693" s="32"/>
    </row>
    <row r="5694" spans="1:2" x14ac:dyDescent="0.35">
      <c r="A5694" s="32"/>
      <c r="B5694" s="32"/>
    </row>
    <row r="5695" spans="1:2" x14ac:dyDescent="0.35">
      <c r="A5695" s="32"/>
      <c r="B5695" s="32"/>
    </row>
    <row r="5696" spans="1:2" x14ac:dyDescent="0.35">
      <c r="A5696" s="32"/>
      <c r="B5696" s="32"/>
    </row>
    <row r="5697" spans="1:2" x14ac:dyDescent="0.35">
      <c r="A5697" s="32"/>
      <c r="B5697" s="32"/>
    </row>
    <row r="5698" spans="1:2" x14ac:dyDescent="0.35">
      <c r="A5698" s="32"/>
      <c r="B5698" s="32"/>
    </row>
    <row r="5699" spans="1:2" x14ac:dyDescent="0.35">
      <c r="A5699" s="32"/>
      <c r="B5699" s="32"/>
    </row>
    <row r="5700" spans="1:2" x14ac:dyDescent="0.35">
      <c r="A5700" s="32"/>
      <c r="B5700" s="32"/>
    </row>
    <row r="5701" spans="1:2" x14ac:dyDescent="0.35">
      <c r="A5701" s="32"/>
      <c r="B5701" s="32"/>
    </row>
    <row r="5702" spans="1:2" x14ac:dyDescent="0.35">
      <c r="A5702" s="32"/>
      <c r="B5702" s="32"/>
    </row>
    <row r="5703" spans="1:2" x14ac:dyDescent="0.35">
      <c r="A5703" s="32"/>
      <c r="B5703" s="32"/>
    </row>
    <row r="5704" spans="1:2" x14ac:dyDescent="0.35">
      <c r="A5704" s="32"/>
      <c r="B5704" s="32"/>
    </row>
    <row r="5705" spans="1:2" x14ac:dyDescent="0.35">
      <c r="A5705" s="32"/>
      <c r="B5705" s="32"/>
    </row>
    <row r="5706" spans="1:2" x14ac:dyDescent="0.35">
      <c r="A5706" s="32"/>
      <c r="B5706" s="32"/>
    </row>
    <row r="5707" spans="1:2" x14ac:dyDescent="0.35">
      <c r="A5707" s="32"/>
      <c r="B5707" s="32"/>
    </row>
    <row r="5708" spans="1:2" x14ac:dyDescent="0.35">
      <c r="A5708" s="32"/>
      <c r="B5708" s="32"/>
    </row>
    <row r="5709" spans="1:2" x14ac:dyDescent="0.35">
      <c r="A5709" s="32"/>
      <c r="B5709" s="32"/>
    </row>
    <row r="5710" spans="1:2" x14ac:dyDescent="0.35">
      <c r="A5710" s="32"/>
      <c r="B5710" s="32"/>
    </row>
    <row r="5711" spans="1:2" x14ac:dyDescent="0.35">
      <c r="A5711" s="32"/>
      <c r="B5711" s="32"/>
    </row>
    <row r="5712" spans="1:2" x14ac:dyDescent="0.35">
      <c r="A5712" s="32"/>
      <c r="B5712" s="32"/>
    </row>
    <row r="5713" spans="1:2" x14ac:dyDescent="0.35">
      <c r="A5713" s="32"/>
      <c r="B5713" s="32"/>
    </row>
    <row r="5714" spans="1:2" x14ac:dyDescent="0.35">
      <c r="A5714" s="32"/>
      <c r="B5714" s="32"/>
    </row>
    <row r="5715" spans="1:2" x14ac:dyDescent="0.35">
      <c r="A5715" s="32"/>
      <c r="B5715" s="32"/>
    </row>
    <row r="5716" spans="1:2" x14ac:dyDescent="0.35">
      <c r="A5716" s="32"/>
      <c r="B5716" s="32"/>
    </row>
    <row r="5717" spans="1:2" x14ac:dyDescent="0.35">
      <c r="A5717" s="32"/>
      <c r="B5717" s="32"/>
    </row>
    <row r="5718" spans="1:2" x14ac:dyDescent="0.35">
      <c r="A5718" s="32"/>
      <c r="B5718" s="32"/>
    </row>
    <row r="5719" spans="1:2" x14ac:dyDescent="0.35">
      <c r="A5719" s="32"/>
      <c r="B5719" s="32"/>
    </row>
    <row r="5720" spans="1:2" x14ac:dyDescent="0.35">
      <c r="A5720" s="32"/>
      <c r="B5720" s="32"/>
    </row>
    <row r="5721" spans="1:2" x14ac:dyDescent="0.35">
      <c r="A5721" s="32"/>
      <c r="B5721" s="32"/>
    </row>
    <row r="5722" spans="1:2" x14ac:dyDescent="0.35">
      <c r="A5722" s="32"/>
      <c r="B5722" s="32"/>
    </row>
    <row r="5723" spans="1:2" x14ac:dyDescent="0.35">
      <c r="A5723" s="32"/>
      <c r="B5723" s="32"/>
    </row>
    <row r="5724" spans="1:2" x14ac:dyDescent="0.35">
      <c r="A5724" s="32"/>
      <c r="B5724" s="32"/>
    </row>
    <row r="5725" spans="1:2" x14ac:dyDescent="0.35">
      <c r="A5725" s="32"/>
      <c r="B5725" s="32"/>
    </row>
    <row r="5726" spans="1:2" x14ac:dyDescent="0.35">
      <c r="A5726" s="32"/>
      <c r="B5726" s="32"/>
    </row>
    <row r="5727" spans="1:2" x14ac:dyDescent="0.35">
      <c r="A5727" s="32"/>
      <c r="B5727" s="32"/>
    </row>
    <row r="5728" spans="1:2" x14ac:dyDescent="0.35">
      <c r="A5728" s="32"/>
      <c r="B5728" s="32"/>
    </row>
    <row r="5729" spans="1:2" x14ac:dyDescent="0.35">
      <c r="A5729" s="32"/>
      <c r="B5729" s="32"/>
    </row>
    <row r="5730" spans="1:2" x14ac:dyDescent="0.35">
      <c r="A5730" s="32"/>
      <c r="B5730" s="32"/>
    </row>
    <row r="5731" spans="1:2" x14ac:dyDescent="0.35">
      <c r="A5731" s="32"/>
      <c r="B5731" s="32"/>
    </row>
    <row r="5732" spans="1:2" x14ac:dyDescent="0.35">
      <c r="A5732" s="32"/>
      <c r="B5732" s="32"/>
    </row>
    <row r="5733" spans="1:2" x14ac:dyDescent="0.35">
      <c r="A5733" s="32"/>
      <c r="B5733" s="32"/>
    </row>
    <row r="5734" spans="1:2" x14ac:dyDescent="0.35">
      <c r="A5734" s="32"/>
      <c r="B5734" s="32"/>
    </row>
    <row r="5735" spans="1:2" x14ac:dyDescent="0.35">
      <c r="A5735" s="32"/>
      <c r="B5735" s="32"/>
    </row>
    <row r="5736" spans="1:2" x14ac:dyDescent="0.35">
      <c r="A5736" s="32"/>
      <c r="B5736" s="32"/>
    </row>
    <row r="5737" spans="1:2" x14ac:dyDescent="0.35">
      <c r="A5737" s="32"/>
      <c r="B5737" s="32"/>
    </row>
    <row r="5738" spans="1:2" x14ac:dyDescent="0.35">
      <c r="A5738" s="32"/>
      <c r="B5738" s="32"/>
    </row>
    <row r="5739" spans="1:2" x14ac:dyDescent="0.35">
      <c r="A5739" s="32"/>
      <c r="B5739" s="32"/>
    </row>
    <row r="5740" spans="1:2" x14ac:dyDescent="0.35">
      <c r="A5740" s="32"/>
      <c r="B5740" s="32"/>
    </row>
    <row r="5741" spans="1:2" x14ac:dyDescent="0.35">
      <c r="A5741" s="32"/>
      <c r="B5741" s="32"/>
    </row>
    <row r="5742" spans="1:2" x14ac:dyDescent="0.35">
      <c r="A5742" s="32"/>
      <c r="B5742" s="32"/>
    </row>
    <row r="5743" spans="1:2" x14ac:dyDescent="0.35">
      <c r="A5743" s="32"/>
      <c r="B5743" s="32"/>
    </row>
    <row r="5744" spans="1:2" x14ac:dyDescent="0.35">
      <c r="A5744" s="32"/>
      <c r="B5744" s="32"/>
    </row>
    <row r="5745" spans="1:2" x14ac:dyDescent="0.35">
      <c r="A5745" s="32"/>
      <c r="B5745" s="32"/>
    </row>
    <row r="5746" spans="1:2" x14ac:dyDescent="0.35">
      <c r="A5746" s="32"/>
      <c r="B5746" s="32"/>
    </row>
    <row r="5747" spans="1:2" x14ac:dyDescent="0.35">
      <c r="A5747" s="32"/>
      <c r="B5747" s="32"/>
    </row>
    <row r="5748" spans="1:2" x14ac:dyDescent="0.35">
      <c r="A5748" s="32"/>
      <c r="B5748" s="32"/>
    </row>
    <row r="5749" spans="1:2" x14ac:dyDescent="0.35">
      <c r="A5749" s="32"/>
      <c r="B5749" s="32"/>
    </row>
    <row r="5750" spans="1:2" x14ac:dyDescent="0.35">
      <c r="A5750" s="32"/>
      <c r="B5750" s="32"/>
    </row>
    <row r="5751" spans="1:2" x14ac:dyDescent="0.35">
      <c r="A5751" s="32"/>
      <c r="B5751" s="32"/>
    </row>
    <row r="5752" spans="1:2" x14ac:dyDescent="0.35">
      <c r="A5752" s="32"/>
      <c r="B5752" s="32"/>
    </row>
    <row r="5753" spans="1:2" x14ac:dyDescent="0.35">
      <c r="A5753" s="32"/>
      <c r="B5753" s="32"/>
    </row>
    <row r="5754" spans="1:2" x14ac:dyDescent="0.35">
      <c r="A5754" s="32"/>
      <c r="B5754" s="32"/>
    </row>
    <row r="5755" spans="1:2" x14ac:dyDescent="0.35">
      <c r="A5755" s="32"/>
      <c r="B5755" s="32"/>
    </row>
    <row r="5756" spans="1:2" x14ac:dyDescent="0.35">
      <c r="A5756" s="32"/>
      <c r="B5756" s="32"/>
    </row>
    <row r="5757" spans="1:2" x14ac:dyDescent="0.35">
      <c r="A5757" s="32"/>
      <c r="B5757" s="32"/>
    </row>
    <row r="5758" spans="1:2" x14ac:dyDescent="0.35">
      <c r="A5758" s="32"/>
      <c r="B5758" s="32"/>
    </row>
    <row r="5759" spans="1:2" x14ac:dyDescent="0.35">
      <c r="A5759" s="32"/>
      <c r="B5759" s="32"/>
    </row>
    <row r="5760" spans="1:2" x14ac:dyDescent="0.35">
      <c r="A5760" s="32"/>
      <c r="B5760" s="32"/>
    </row>
    <row r="5761" spans="1:2" x14ac:dyDescent="0.35">
      <c r="A5761" s="32"/>
      <c r="B5761" s="32"/>
    </row>
    <row r="5762" spans="1:2" x14ac:dyDescent="0.35">
      <c r="A5762" s="32"/>
      <c r="B5762" s="32"/>
    </row>
    <row r="5763" spans="1:2" x14ac:dyDescent="0.35">
      <c r="A5763" s="32"/>
      <c r="B5763" s="32"/>
    </row>
    <row r="5764" spans="1:2" x14ac:dyDescent="0.35">
      <c r="A5764" s="32"/>
      <c r="B5764" s="32"/>
    </row>
    <row r="5765" spans="1:2" x14ac:dyDescent="0.35">
      <c r="A5765" s="32"/>
      <c r="B5765" s="32"/>
    </row>
    <row r="5766" spans="1:2" x14ac:dyDescent="0.35">
      <c r="A5766" s="32"/>
      <c r="B5766" s="32"/>
    </row>
    <row r="5767" spans="1:2" x14ac:dyDescent="0.35">
      <c r="A5767" s="32"/>
      <c r="B5767" s="32"/>
    </row>
    <row r="5768" spans="1:2" x14ac:dyDescent="0.35">
      <c r="A5768" s="32"/>
      <c r="B5768" s="32"/>
    </row>
    <row r="5769" spans="1:2" x14ac:dyDescent="0.35">
      <c r="A5769" s="32"/>
      <c r="B5769" s="32"/>
    </row>
    <row r="5770" spans="1:2" x14ac:dyDescent="0.35">
      <c r="A5770" s="32"/>
      <c r="B5770" s="32"/>
    </row>
    <row r="5771" spans="1:2" x14ac:dyDescent="0.35">
      <c r="A5771" s="32"/>
      <c r="B5771" s="32"/>
    </row>
    <row r="5772" spans="1:2" x14ac:dyDescent="0.35">
      <c r="A5772" s="32"/>
      <c r="B5772" s="32"/>
    </row>
    <row r="5773" spans="1:2" x14ac:dyDescent="0.35">
      <c r="A5773" s="32"/>
      <c r="B5773" s="32"/>
    </row>
    <row r="5774" spans="1:2" x14ac:dyDescent="0.35">
      <c r="A5774" s="32"/>
      <c r="B5774" s="32"/>
    </row>
    <row r="5775" spans="1:2" x14ac:dyDescent="0.35">
      <c r="A5775" s="32"/>
      <c r="B5775" s="32"/>
    </row>
    <row r="5776" spans="1:2" x14ac:dyDescent="0.35">
      <c r="A5776" s="32"/>
      <c r="B5776" s="32"/>
    </row>
    <row r="5777" spans="1:2" x14ac:dyDescent="0.35">
      <c r="A5777" s="32"/>
      <c r="B5777" s="32"/>
    </row>
    <row r="5778" spans="1:2" x14ac:dyDescent="0.35">
      <c r="A5778" s="32"/>
      <c r="B5778" s="32"/>
    </row>
    <row r="5779" spans="1:2" x14ac:dyDescent="0.35">
      <c r="A5779" s="32"/>
      <c r="B5779" s="32"/>
    </row>
    <row r="5780" spans="1:2" x14ac:dyDescent="0.35">
      <c r="A5780" s="32"/>
      <c r="B5780" s="32"/>
    </row>
    <row r="5781" spans="1:2" x14ac:dyDescent="0.35">
      <c r="A5781" s="32"/>
      <c r="B5781" s="32"/>
    </row>
    <row r="5782" spans="1:2" x14ac:dyDescent="0.35">
      <c r="A5782" s="32"/>
      <c r="B5782" s="32"/>
    </row>
    <row r="5783" spans="1:2" x14ac:dyDescent="0.35">
      <c r="A5783" s="32"/>
      <c r="B5783" s="32"/>
    </row>
    <row r="5784" spans="1:2" x14ac:dyDescent="0.35">
      <c r="A5784" s="32"/>
      <c r="B5784" s="32"/>
    </row>
    <row r="5785" spans="1:2" x14ac:dyDescent="0.35">
      <c r="A5785" s="32"/>
      <c r="B5785" s="32"/>
    </row>
    <row r="5786" spans="1:2" x14ac:dyDescent="0.35">
      <c r="A5786" s="32"/>
      <c r="B5786" s="32"/>
    </row>
    <row r="5787" spans="1:2" x14ac:dyDescent="0.35">
      <c r="A5787" s="32"/>
      <c r="B5787" s="32"/>
    </row>
    <row r="5788" spans="1:2" x14ac:dyDescent="0.35">
      <c r="A5788" s="32"/>
      <c r="B5788" s="32"/>
    </row>
    <row r="5789" spans="1:2" x14ac:dyDescent="0.35">
      <c r="A5789" s="32"/>
      <c r="B5789" s="32"/>
    </row>
    <row r="5790" spans="1:2" x14ac:dyDescent="0.35">
      <c r="A5790" s="32"/>
      <c r="B5790" s="32"/>
    </row>
    <row r="5791" spans="1:2" x14ac:dyDescent="0.35">
      <c r="A5791" s="32"/>
      <c r="B5791" s="32"/>
    </row>
    <row r="5792" spans="1:2" x14ac:dyDescent="0.35">
      <c r="A5792" s="32"/>
      <c r="B5792" s="32"/>
    </row>
    <row r="5793" spans="1:2" x14ac:dyDescent="0.35">
      <c r="A5793" s="32"/>
      <c r="B5793" s="32"/>
    </row>
    <row r="5794" spans="1:2" x14ac:dyDescent="0.35">
      <c r="A5794" s="32"/>
      <c r="B5794" s="32"/>
    </row>
    <row r="5795" spans="1:2" x14ac:dyDescent="0.35">
      <c r="A5795" s="32"/>
      <c r="B5795" s="32"/>
    </row>
    <row r="5796" spans="1:2" x14ac:dyDescent="0.35">
      <c r="A5796" s="32"/>
      <c r="B5796" s="32"/>
    </row>
    <row r="5797" spans="1:2" x14ac:dyDescent="0.35">
      <c r="A5797" s="32"/>
      <c r="B5797" s="32"/>
    </row>
    <row r="5798" spans="1:2" x14ac:dyDescent="0.35">
      <c r="A5798" s="32"/>
      <c r="B5798" s="32"/>
    </row>
    <row r="5799" spans="1:2" x14ac:dyDescent="0.35">
      <c r="A5799" s="32"/>
      <c r="B5799" s="32"/>
    </row>
    <row r="5800" spans="1:2" x14ac:dyDescent="0.35">
      <c r="A5800" s="32"/>
      <c r="B5800" s="32"/>
    </row>
    <row r="5801" spans="1:2" x14ac:dyDescent="0.35">
      <c r="A5801" s="32"/>
      <c r="B5801" s="32"/>
    </row>
    <row r="5802" spans="1:2" x14ac:dyDescent="0.35">
      <c r="A5802" s="32"/>
      <c r="B5802" s="32"/>
    </row>
    <row r="5803" spans="1:2" x14ac:dyDescent="0.35">
      <c r="A5803" s="32"/>
      <c r="B5803" s="32"/>
    </row>
    <row r="5804" spans="1:2" x14ac:dyDescent="0.35">
      <c r="A5804" s="32"/>
      <c r="B5804" s="32"/>
    </row>
    <row r="5805" spans="1:2" x14ac:dyDescent="0.35">
      <c r="A5805" s="32"/>
      <c r="B5805" s="32"/>
    </row>
    <row r="5806" spans="1:2" x14ac:dyDescent="0.35">
      <c r="A5806" s="32"/>
      <c r="B5806" s="32"/>
    </row>
    <row r="5807" spans="1:2" x14ac:dyDescent="0.35">
      <c r="A5807" s="32"/>
      <c r="B5807" s="32"/>
    </row>
    <row r="5808" spans="1:2" x14ac:dyDescent="0.35">
      <c r="A5808" s="32"/>
      <c r="B5808" s="32"/>
    </row>
    <row r="5809" spans="1:2" x14ac:dyDescent="0.35">
      <c r="A5809" s="32"/>
      <c r="B5809" s="32"/>
    </row>
    <row r="5810" spans="1:2" x14ac:dyDescent="0.35">
      <c r="A5810" s="32"/>
      <c r="B5810" s="32"/>
    </row>
    <row r="5811" spans="1:2" x14ac:dyDescent="0.35">
      <c r="A5811" s="32"/>
      <c r="B5811" s="32"/>
    </row>
    <row r="5812" spans="1:2" x14ac:dyDescent="0.35">
      <c r="A5812" s="32"/>
      <c r="B5812" s="32"/>
    </row>
    <row r="5813" spans="1:2" x14ac:dyDescent="0.35">
      <c r="A5813" s="32"/>
      <c r="B5813" s="32"/>
    </row>
    <row r="5814" spans="1:2" x14ac:dyDescent="0.35">
      <c r="A5814" s="32"/>
      <c r="B5814" s="32"/>
    </row>
    <row r="5815" spans="1:2" x14ac:dyDescent="0.35">
      <c r="A5815" s="32"/>
      <c r="B5815" s="32"/>
    </row>
    <row r="5816" spans="1:2" x14ac:dyDescent="0.35">
      <c r="A5816" s="32"/>
      <c r="B5816" s="32"/>
    </row>
    <row r="5817" spans="1:2" x14ac:dyDescent="0.35">
      <c r="A5817" s="32"/>
      <c r="B5817" s="32"/>
    </row>
    <row r="5818" spans="1:2" x14ac:dyDescent="0.35">
      <c r="A5818" s="32"/>
      <c r="B5818" s="32"/>
    </row>
    <row r="5819" spans="1:2" x14ac:dyDescent="0.35">
      <c r="A5819" s="32"/>
      <c r="B5819" s="32"/>
    </row>
    <row r="5820" spans="1:2" x14ac:dyDescent="0.35">
      <c r="A5820" s="32"/>
      <c r="B5820" s="32"/>
    </row>
    <row r="5821" spans="1:2" x14ac:dyDescent="0.35">
      <c r="A5821" s="32"/>
      <c r="B5821" s="32"/>
    </row>
    <row r="5822" spans="1:2" x14ac:dyDescent="0.35">
      <c r="A5822" s="32"/>
      <c r="B5822" s="32"/>
    </row>
    <row r="5823" spans="1:2" x14ac:dyDescent="0.35">
      <c r="A5823" s="32"/>
      <c r="B5823" s="32"/>
    </row>
    <row r="5824" spans="1:2" x14ac:dyDescent="0.35">
      <c r="A5824" s="32"/>
      <c r="B5824" s="32"/>
    </row>
    <row r="5825" spans="1:2" x14ac:dyDescent="0.35">
      <c r="A5825" s="32"/>
      <c r="B5825" s="32"/>
    </row>
    <row r="5826" spans="1:2" x14ac:dyDescent="0.35">
      <c r="A5826" s="32"/>
      <c r="B5826" s="32"/>
    </row>
    <row r="5827" spans="1:2" x14ac:dyDescent="0.35">
      <c r="A5827" s="32"/>
      <c r="B5827" s="32"/>
    </row>
    <row r="5828" spans="1:2" x14ac:dyDescent="0.35">
      <c r="A5828" s="32"/>
      <c r="B5828" s="32"/>
    </row>
    <row r="5829" spans="1:2" x14ac:dyDescent="0.35">
      <c r="A5829" s="32"/>
      <c r="B5829" s="32"/>
    </row>
    <row r="5830" spans="1:2" x14ac:dyDescent="0.35">
      <c r="A5830" s="32"/>
      <c r="B5830" s="32"/>
    </row>
    <row r="5831" spans="1:2" x14ac:dyDescent="0.35">
      <c r="A5831" s="32"/>
      <c r="B5831" s="32"/>
    </row>
    <row r="5832" spans="1:2" x14ac:dyDescent="0.35">
      <c r="A5832" s="32"/>
      <c r="B5832" s="32"/>
    </row>
    <row r="5833" spans="1:2" x14ac:dyDescent="0.35">
      <c r="A5833" s="32"/>
      <c r="B5833" s="32"/>
    </row>
    <row r="5834" spans="1:2" x14ac:dyDescent="0.35">
      <c r="A5834" s="32"/>
      <c r="B5834" s="32"/>
    </row>
    <row r="5835" spans="1:2" x14ac:dyDescent="0.35">
      <c r="A5835" s="32"/>
      <c r="B5835" s="32"/>
    </row>
    <row r="5836" spans="1:2" x14ac:dyDescent="0.35">
      <c r="A5836" s="32"/>
      <c r="B5836" s="32"/>
    </row>
    <row r="5837" spans="1:2" x14ac:dyDescent="0.35">
      <c r="A5837" s="32"/>
      <c r="B5837" s="32"/>
    </row>
    <row r="5838" spans="1:2" x14ac:dyDescent="0.35">
      <c r="A5838" s="32"/>
      <c r="B5838" s="32"/>
    </row>
    <row r="5839" spans="1:2" x14ac:dyDescent="0.35">
      <c r="A5839" s="32"/>
      <c r="B5839" s="32"/>
    </row>
    <row r="5840" spans="1:2" x14ac:dyDescent="0.35">
      <c r="A5840" s="32"/>
      <c r="B5840" s="32"/>
    </row>
    <row r="5841" spans="1:2" x14ac:dyDescent="0.35">
      <c r="A5841" s="32"/>
      <c r="B5841" s="32"/>
    </row>
    <row r="5842" spans="1:2" x14ac:dyDescent="0.35">
      <c r="A5842" s="32"/>
      <c r="B5842" s="32"/>
    </row>
    <row r="5843" spans="1:2" x14ac:dyDescent="0.35">
      <c r="A5843" s="32"/>
      <c r="B5843" s="32"/>
    </row>
    <row r="5844" spans="1:2" x14ac:dyDescent="0.35">
      <c r="A5844" s="32"/>
      <c r="B5844" s="32"/>
    </row>
    <row r="5845" spans="1:2" x14ac:dyDescent="0.35">
      <c r="A5845" s="32"/>
      <c r="B5845" s="32"/>
    </row>
    <row r="5846" spans="1:2" x14ac:dyDescent="0.35">
      <c r="A5846" s="32"/>
      <c r="B5846" s="32"/>
    </row>
    <row r="5847" spans="1:2" x14ac:dyDescent="0.35">
      <c r="A5847" s="32"/>
      <c r="B5847" s="32"/>
    </row>
    <row r="5848" spans="1:2" x14ac:dyDescent="0.35">
      <c r="A5848" s="32"/>
      <c r="B5848" s="32"/>
    </row>
    <row r="5849" spans="1:2" x14ac:dyDescent="0.35">
      <c r="A5849" s="32"/>
      <c r="B5849" s="32"/>
    </row>
    <row r="5850" spans="1:2" x14ac:dyDescent="0.35">
      <c r="A5850" s="32"/>
      <c r="B5850" s="32"/>
    </row>
    <row r="5851" spans="1:2" x14ac:dyDescent="0.35">
      <c r="A5851" s="32"/>
      <c r="B5851" s="32"/>
    </row>
    <row r="5852" spans="1:2" x14ac:dyDescent="0.35">
      <c r="A5852" s="32"/>
      <c r="B5852" s="32"/>
    </row>
    <row r="5853" spans="1:2" x14ac:dyDescent="0.35">
      <c r="A5853" s="32"/>
      <c r="B5853" s="32"/>
    </row>
    <row r="5854" spans="1:2" x14ac:dyDescent="0.35">
      <c r="A5854" s="32"/>
      <c r="B5854" s="32"/>
    </row>
    <row r="5855" spans="1:2" x14ac:dyDescent="0.35">
      <c r="A5855" s="32"/>
      <c r="B5855" s="32"/>
    </row>
    <row r="5856" spans="1:2" x14ac:dyDescent="0.35">
      <c r="A5856" s="32"/>
      <c r="B5856" s="32"/>
    </row>
    <row r="5857" spans="1:2" x14ac:dyDescent="0.35">
      <c r="A5857" s="32"/>
      <c r="B5857" s="32"/>
    </row>
    <row r="5858" spans="1:2" x14ac:dyDescent="0.35">
      <c r="A5858" s="32"/>
      <c r="B5858" s="32"/>
    </row>
    <row r="5859" spans="1:2" x14ac:dyDescent="0.35">
      <c r="A5859" s="32"/>
      <c r="B5859" s="32"/>
    </row>
    <row r="5860" spans="1:2" x14ac:dyDescent="0.35">
      <c r="A5860" s="32"/>
      <c r="B5860" s="32"/>
    </row>
    <row r="5861" spans="1:2" x14ac:dyDescent="0.35">
      <c r="A5861" s="32"/>
      <c r="B5861" s="32"/>
    </row>
    <row r="5862" spans="1:2" x14ac:dyDescent="0.35">
      <c r="A5862" s="32"/>
      <c r="B5862" s="32"/>
    </row>
    <row r="5863" spans="1:2" x14ac:dyDescent="0.35">
      <c r="A5863" s="32"/>
      <c r="B5863" s="32"/>
    </row>
    <row r="5864" spans="1:2" x14ac:dyDescent="0.35">
      <c r="A5864" s="32"/>
      <c r="B5864" s="32"/>
    </row>
    <row r="5865" spans="1:2" x14ac:dyDescent="0.35">
      <c r="A5865" s="32"/>
      <c r="B5865" s="32"/>
    </row>
    <row r="5866" spans="1:2" x14ac:dyDescent="0.35">
      <c r="A5866" s="32"/>
      <c r="B5866" s="32"/>
    </row>
    <row r="5867" spans="1:2" x14ac:dyDescent="0.35">
      <c r="A5867" s="32"/>
      <c r="B5867" s="32"/>
    </row>
    <row r="5868" spans="1:2" x14ac:dyDescent="0.35">
      <c r="A5868" s="32"/>
      <c r="B5868" s="32"/>
    </row>
    <row r="5869" spans="1:2" x14ac:dyDescent="0.35">
      <c r="A5869" s="32"/>
      <c r="B5869" s="32"/>
    </row>
    <row r="5870" spans="1:2" x14ac:dyDescent="0.35">
      <c r="A5870" s="32"/>
      <c r="B5870" s="32"/>
    </row>
    <row r="5871" spans="1:2" x14ac:dyDescent="0.35">
      <c r="A5871" s="32"/>
      <c r="B5871" s="32"/>
    </row>
    <row r="5872" spans="1:2" x14ac:dyDescent="0.35">
      <c r="A5872" s="32"/>
      <c r="B5872" s="32"/>
    </row>
    <row r="5873" spans="1:2" x14ac:dyDescent="0.35">
      <c r="A5873" s="32"/>
      <c r="B5873" s="32"/>
    </row>
    <row r="5874" spans="1:2" x14ac:dyDescent="0.35">
      <c r="A5874" s="32"/>
      <c r="B5874" s="32"/>
    </row>
    <row r="5875" spans="1:2" x14ac:dyDescent="0.35">
      <c r="A5875" s="32"/>
      <c r="B5875" s="32"/>
    </row>
    <row r="5876" spans="1:2" x14ac:dyDescent="0.35">
      <c r="A5876" s="32"/>
      <c r="B5876" s="32"/>
    </row>
    <row r="5877" spans="1:2" x14ac:dyDescent="0.35">
      <c r="A5877" s="32"/>
      <c r="B5877" s="32"/>
    </row>
    <row r="5878" spans="1:2" x14ac:dyDescent="0.35">
      <c r="A5878" s="32"/>
      <c r="B5878" s="32"/>
    </row>
    <row r="5879" spans="1:2" x14ac:dyDescent="0.35">
      <c r="A5879" s="32"/>
      <c r="B5879" s="32"/>
    </row>
    <row r="5880" spans="1:2" x14ac:dyDescent="0.35">
      <c r="A5880" s="32"/>
      <c r="B5880" s="32"/>
    </row>
    <row r="5881" spans="1:2" x14ac:dyDescent="0.35">
      <c r="A5881" s="32"/>
      <c r="B5881" s="32"/>
    </row>
    <row r="5882" spans="1:2" x14ac:dyDescent="0.35">
      <c r="A5882" s="32"/>
      <c r="B5882" s="32"/>
    </row>
    <row r="5883" spans="1:2" x14ac:dyDescent="0.35">
      <c r="A5883" s="32"/>
      <c r="B5883" s="32"/>
    </row>
    <row r="5884" spans="1:2" x14ac:dyDescent="0.35">
      <c r="A5884" s="32"/>
      <c r="B5884" s="32"/>
    </row>
    <row r="5885" spans="1:2" x14ac:dyDescent="0.35">
      <c r="A5885" s="32"/>
      <c r="B5885" s="32"/>
    </row>
    <row r="5886" spans="1:2" x14ac:dyDescent="0.35">
      <c r="A5886" s="32"/>
      <c r="B5886" s="32"/>
    </row>
    <row r="5887" spans="1:2" x14ac:dyDescent="0.35">
      <c r="A5887" s="32"/>
      <c r="B5887" s="32"/>
    </row>
    <row r="5888" spans="1:2" x14ac:dyDescent="0.35">
      <c r="A5888" s="32"/>
      <c r="B5888" s="32"/>
    </row>
    <row r="5889" spans="1:2" x14ac:dyDescent="0.35">
      <c r="A5889" s="32"/>
      <c r="B5889" s="32"/>
    </row>
    <row r="5890" spans="1:2" x14ac:dyDescent="0.35">
      <c r="A5890" s="32"/>
      <c r="B5890" s="32"/>
    </row>
    <row r="5891" spans="1:2" x14ac:dyDescent="0.35">
      <c r="A5891" s="32"/>
      <c r="B5891" s="32"/>
    </row>
    <row r="5892" spans="1:2" x14ac:dyDescent="0.35">
      <c r="A5892" s="32"/>
      <c r="B5892" s="32"/>
    </row>
    <row r="5893" spans="1:2" x14ac:dyDescent="0.35">
      <c r="A5893" s="32"/>
      <c r="B5893" s="32"/>
    </row>
    <row r="5894" spans="1:2" x14ac:dyDescent="0.35">
      <c r="A5894" s="32"/>
      <c r="B5894" s="32"/>
    </row>
    <row r="5895" spans="1:2" x14ac:dyDescent="0.35">
      <c r="A5895" s="32"/>
      <c r="B5895" s="32"/>
    </row>
    <row r="5896" spans="1:2" x14ac:dyDescent="0.35">
      <c r="A5896" s="32"/>
      <c r="B5896" s="32"/>
    </row>
    <row r="5897" spans="1:2" x14ac:dyDescent="0.35">
      <c r="A5897" s="32"/>
      <c r="B5897" s="32"/>
    </row>
    <row r="5898" spans="1:2" x14ac:dyDescent="0.35">
      <c r="A5898" s="32"/>
      <c r="B5898" s="32"/>
    </row>
    <row r="5899" spans="1:2" x14ac:dyDescent="0.35">
      <c r="A5899" s="32"/>
      <c r="B5899" s="32"/>
    </row>
    <row r="5900" spans="1:2" x14ac:dyDescent="0.35">
      <c r="A5900" s="32"/>
      <c r="B5900" s="32"/>
    </row>
    <row r="5901" spans="1:2" x14ac:dyDescent="0.35">
      <c r="A5901" s="32"/>
      <c r="B5901" s="32"/>
    </row>
    <row r="5902" spans="1:2" x14ac:dyDescent="0.35">
      <c r="A5902" s="32"/>
      <c r="B5902" s="32"/>
    </row>
    <row r="5903" spans="1:2" x14ac:dyDescent="0.35">
      <c r="A5903" s="32"/>
      <c r="B5903" s="32"/>
    </row>
    <row r="5904" spans="1:2" x14ac:dyDescent="0.35">
      <c r="A5904" s="32"/>
      <c r="B5904" s="32"/>
    </row>
    <row r="5905" spans="1:2" x14ac:dyDescent="0.35">
      <c r="A5905" s="32"/>
      <c r="B5905" s="32"/>
    </row>
    <row r="5906" spans="1:2" x14ac:dyDescent="0.35">
      <c r="A5906" s="32"/>
      <c r="B5906" s="32"/>
    </row>
    <row r="5907" spans="1:2" x14ac:dyDescent="0.35">
      <c r="A5907" s="32"/>
      <c r="B5907" s="32"/>
    </row>
    <row r="5908" spans="1:2" x14ac:dyDescent="0.35">
      <c r="A5908" s="32"/>
      <c r="B5908" s="32"/>
    </row>
    <row r="5909" spans="1:2" x14ac:dyDescent="0.35">
      <c r="A5909" s="32"/>
      <c r="B5909" s="32"/>
    </row>
    <row r="5910" spans="1:2" x14ac:dyDescent="0.35">
      <c r="A5910" s="32"/>
      <c r="B5910" s="32"/>
    </row>
    <row r="5911" spans="1:2" x14ac:dyDescent="0.35">
      <c r="A5911" s="32"/>
      <c r="B5911" s="32"/>
    </row>
    <row r="5912" spans="1:2" x14ac:dyDescent="0.35">
      <c r="A5912" s="32"/>
      <c r="B5912" s="32"/>
    </row>
    <row r="5913" spans="1:2" x14ac:dyDescent="0.35">
      <c r="A5913" s="32"/>
      <c r="B5913" s="32"/>
    </row>
    <row r="5914" spans="1:2" x14ac:dyDescent="0.35">
      <c r="A5914" s="32"/>
      <c r="B5914" s="32"/>
    </row>
    <row r="5915" spans="1:2" x14ac:dyDescent="0.35">
      <c r="A5915" s="32"/>
      <c r="B5915" s="32"/>
    </row>
    <row r="5916" spans="1:2" x14ac:dyDescent="0.35">
      <c r="A5916" s="32"/>
      <c r="B5916" s="32"/>
    </row>
    <row r="5917" spans="1:2" x14ac:dyDescent="0.35">
      <c r="A5917" s="32"/>
      <c r="B5917" s="32"/>
    </row>
    <row r="5918" spans="1:2" x14ac:dyDescent="0.35">
      <c r="A5918" s="32"/>
      <c r="B5918" s="32"/>
    </row>
    <row r="5919" spans="1:2" x14ac:dyDescent="0.35">
      <c r="A5919" s="32"/>
      <c r="B5919" s="32"/>
    </row>
    <row r="5920" spans="1:2" x14ac:dyDescent="0.35">
      <c r="A5920" s="32"/>
      <c r="B5920" s="32"/>
    </row>
    <row r="5921" spans="1:2" x14ac:dyDescent="0.35">
      <c r="A5921" s="32"/>
      <c r="B5921" s="32"/>
    </row>
    <row r="5922" spans="1:2" x14ac:dyDescent="0.35">
      <c r="A5922" s="32"/>
      <c r="B5922" s="32"/>
    </row>
    <row r="5923" spans="1:2" x14ac:dyDescent="0.35">
      <c r="A5923" s="32"/>
      <c r="B5923" s="32"/>
    </row>
    <row r="5924" spans="1:2" x14ac:dyDescent="0.35">
      <c r="A5924" s="32"/>
      <c r="B5924" s="32"/>
    </row>
    <row r="5925" spans="1:2" x14ac:dyDescent="0.35">
      <c r="A5925" s="32"/>
      <c r="B5925" s="32"/>
    </row>
    <row r="5926" spans="1:2" x14ac:dyDescent="0.35">
      <c r="A5926" s="32"/>
      <c r="B5926" s="32"/>
    </row>
    <row r="5927" spans="1:2" x14ac:dyDescent="0.35">
      <c r="A5927" s="32"/>
      <c r="B5927" s="32"/>
    </row>
    <row r="5928" spans="1:2" x14ac:dyDescent="0.35">
      <c r="A5928" s="32"/>
      <c r="B5928" s="32"/>
    </row>
    <row r="5929" spans="1:2" x14ac:dyDescent="0.35">
      <c r="A5929" s="32"/>
      <c r="B5929" s="32"/>
    </row>
    <row r="5930" spans="1:2" x14ac:dyDescent="0.35">
      <c r="A5930" s="32"/>
      <c r="B5930" s="32"/>
    </row>
    <row r="5931" spans="1:2" x14ac:dyDescent="0.35">
      <c r="A5931" s="32"/>
      <c r="B5931" s="32"/>
    </row>
    <row r="5932" spans="1:2" x14ac:dyDescent="0.35">
      <c r="A5932" s="32"/>
      <c r="B5932" s="32"/>
    </row>
    <row r="5933" spans="1:2" x14ac:dyDescent="0.35">
      <c r="A5933" s="32"/>
      <c r="B5933" s="32"/>
    </row>
    <row r="5934" spans="1:2" x14ac:dyDescent="0.35">
      <c r="A5934" s="32"/>
      <c r="B5934" s="32"/>
    </row>
    <row r="5935" spans="1:2" x14ac:dyDescent="0.35">
      <c r="A5935" s="32"/>
      <c r="B5935" s="32"/>
    </row>
    <row r="5936" spans="1:2" x14ac:dyDescent="0.35">
      <c r="A5936" s="32"/>
      <c r="B5936" s="32"/>
    </row>
    <row r="5937" spans="1:2" x14ac:dyDescent="0.35">
      <c r="A5937" s="32"/>
      <c r="B5937" s="32"/>
    </row>
    <row r="5938" spans="1:2" x14ac:dyDescent="0.35">
      <c r="A5938" s="32"/>
      <c r="B5938" s="32"/>
    </row>
    <row r="5939" spans="1:2" x14ac:dyDescent="0.35">
      <c r="A5939" s="32"/>
      <c r="B5939" s="32"/>
    </row>
    <row r="5940" spans="1:2" x14ac:dyDescent="0.35">
      <c r="A5940" s="32"/>
      <c r="B5940" s="32"/>
    </row>
    <row r="5941" spans="1:2" x14ac:dyDescent="0.35">
      <c r="A5941" s="32"/>
      <c r="B5941" s="32"/>
    </row>
    <row r="5942" spans="1:2" x14ac:dyDescent="0.35">
      <c r="A5942" s="32"/>
      <c r="B5942" s="32"/>
    </row>
    <row r="5943" spans="1:2" x14ac:dyDescent="0.35">
      <c r="A5943" s="32"/>
      <c r="B5943" s="32"/>
    </row>
    <row r="5944" spans="1:2" x14ac:dyDescent="0.35">
      <c r="A5944" s="32"/>
      <c r="B5944" s="32"/>
    </row>
    <row r="5945" spans="1:2" x14ac:dyDescent="0.35">
      <c r="A5945" s="32"/>
      <c r="B5945" s="32"/>
    </row>
    <row r="5946" spans="1:2" x14ac:dyDescent="0.35">
      <c r="A5946" s="32"/>
      <c r="B5946" s="32"/>
    </row>
    <row r="5947" spans="1:2" x14ac:dyDescent="0.35">
      <c r="A5947" s="32"/>
      <c r="B5947" s="32"/>
    </row>
    <row r="5948" spans="1:2" x14ac:dyDescent="0.35">
      <c r="A5948" s="32"/>
      <c r="B5948" s="32"/>
    </row>
    <row r="5949" spans="1:2" x14ac:dyDescent="0.35">
      <c r="A5949" s="32"/>
      <c r="B5949" s="32"/>
    </row>
    <row r="5950" spans="1:2" x14ac:dyDescent="0.35">
      <c r="A5950" s="32"/>
      <c r="B5950" s="32"/>
    </row>
    <row r="5951" spans="1:2" x14ac:dyDescent="0.35">
      <c r="A5951" s="32"/>
      <c r="B5951" s="32"/>
    </row>
    <row r="5952" spans="1:2" x14ac:dyDescent="0.35">
      <c r="A5952" s="32"/>
      <c r="B5952" s="32"/>
    </row>
    <row r="5953" spans="1:2" x14ac:dyDescent="0.35">
      <c r="A5953" s="32"/>
      <c r="B5953" s="32"/>
    </row>
    <row r="5954" spans="1:2" x14ac:dyDescent="0.35">
      <c r="A5954" s="32"/>
      <c r="B5954" s="32"/>
    </row>
    <row r="5955" spans="1:2" x14ac:dyDescent="0.35">
      <c r="A5955" s="32"/>
      <c r="B5955" s="32"/>
    </row>
    <row r="5956" spans="1:2" x14ac:dyDescent="0.35">
      <c r="A5956" s="32"/>
      <c r="B5956" s="32"/>
    </row>
    <row r="5957" spans="1:2" x14ac:dyDescent="0.35">
      <c r="A5957" s="32"/>
      <c r="B5957" s="32"/>
    </row>
    <row r="5958" spans="1:2" x14ac:dyDescent="0.35">
      <c r="A5958" s="32"/>
      <c r="B5958" s="32"/>
    </row>
    <row r="5959" spans="1:2" x14ac:dyDescent="0.35">
      <c r="A5959" s="32"/>
      <c r="B5959" s="32"/>
    </row>
    <row r="5960" spans="1:2" x14ac:dyDescent="0.35">
      <c r="A5960" s="32"/>
      <c r="B5960" s="32"/>
    </row>
    <row r="5961" spans="1:2" x14ac:dyDescent="0.35">
      <c r="A5961" s="32"/>
      <c r="B5961" s="32"/>
    </row>
    <row r="5962" spans="1:2" x14ac:dyDescent="0.35">
      <c r="A5962" s="32"/>
      <c r="B5962" s="32"/>
    </row>
    <row r="5963" spans="1:2" x14ac:dyDescent="0.35">
      <c r="A5963" s="32"/>
      <c r="B5963" s="32"/>
    </row>
    <row r="5964" spans="1:2" x14ac:dyDescent="0.35">
      <c r="A5964" s="32"/>
      <c r="B5964" s="32"/>
    </row>
    <row r="5965" spans="1:2" x14ac:dyDescent="0.35">
      <c r="A5965" s="32"/>
      <c r="B5965" s="32"/>
    </row>
    <row r="5966" spans="1:2" x14ac:dyDescent="0.35">
      <c r="A5966" s="32"/>
      <c r="B5966" s="32"/>
    </row>
    <row r="5967" spans="1:2" x14ac:dyDescent="0.35">
      <c r="A5967" s="32"/>
      <c r="B5967" s="32"/>
    </row>
    <row r="5968" spans="1:2" x14ac:dyDescent="0.35">
      <c r="A5968" s="32"/>
      <c r="B5968" s="32"/>
    </row>
    <row r="5969" spans="1:2" x14ac:dyDescent="0.35">
      <c r="A5969" s="32"/>
      <c r="B5969" s="32"/>
    </row>
    <row r="5970" spans="1:2" x14ac:dyDescent="0.35">
      <c r="A5970" s="32"/>
      <c r="B5970" s="32"/>
    </row>
    <row r="5971" spans="1:2" x14ac:dyDescent="0.35">
      <c r="A5971" s="32"/>
      <c r="B5971" s="32"/>
    </row>
    <row r="5972" spans="1:2" x14ac:dyDescent="0.35">
      <c r="A5972" s="32"/>
      <c r="B5972" s="32"/>
    </row>
    <row r="5973" spans="1:2" x14ac:dyDescent="0.35">
      <c r="A5973" s="32"/>
      <c r="B5973" s="32"/>
    </row>
    <row r="5974" spans="1:2" x14ac:dyDescent="0.35">
      <c r="A5974" s="32"/>
      <c r="B5974" s="32"/>
    </row>
    <row r="5975" spans="1:2" x14ac:dyDescent="0.35">
      <c r="A5975" s="32"/>
      <c r="B5975" s="32"/>
    </row>
    <row r="5976" spans="1:2" x14ac:dyDescent="0.35">
      <c r="A5976" s="32"/>
      <c r="B5976" s="32"/>
    </row>
    <row r="5977" spans="1:2" x14ac:dyDescent="0.35">
      <c r="A5977" s="32"/>
      <c r="B5977" s="32"/>
    </row>
    <row r="5978" spans="1:2" x14ac:dyDescent="0.35">
      <c r="A5978" s="32"/>
      <c r="B5978" s="32"/>
    </row>
    <row r="5979" spans="1:2" x14ac:dyDescent="0.35">
      <c r="A5979" s="32"/>
      <c r="B5979" s="32"/>
    </row>
    <row r="5980" spans="1:2" x14ac:dyDescent="0.35">
      <c r="A5980" s="32"/>
      <c r="B5980" s="32"/>
    </row>
    <row r="5981" spans="1:2" x14ac:dyDescent="0.35">
      <c r="A5981" s="32"/>
      <c r="B5981" s="32"/>
    </row>
    <row r="5982" spans="1:2" x14ac:dyDescent="0.35">
      <c r="A5982" s="32"/>
      <c r="B5982" s="32"/>
    </row>
    <row r="5983" spans="1:2" x14ac:dyDescent="0.35">
      <c r="A5983" s="32"/>
      <c r="B5983" s="32"/>
    </row>
    <row r="5984" spans="1:2" x14ac:dyDescent="0.35">
      <c r="A5984" s="32"/>
      <c r="B5984" s="32"/>
    </row>
    <row r="5985" spans="1:2" x14ac:dyDescent="0.35">
      <c r="A5985" s="32"/>
      <c r="B5985" s="32"/>
    </row>
    <row r="5986" spans="1:2" x14ac:dyDescent="0.35">
      <c r="A5986" s="32"/>
      <c r="B5986" s="32"/>
    </row>
    <row r="5987" spans="1:2" x14ac:dyDescent="0.35">
      <c r="A5987" s="32"/>
      <c r="B5987" s="32"/>
    </row>
    <row r="5988" spans="1:2" x14ac:dyDescent="0.35">
      <c r="A5988" s="32"/>
      <c r="B5988" s="32"/>
    </row>
    <row r="5989" spans="1:2" x14ac:dyDescent="0.35">
      <c r="A5989" s="32"/>
      <c r="B5989" s="32"/>
    </row>
    <row r="5990" spans="1:2" x14ac:dyDescent="0.35">
      <c r="A5990" s="32"/>
      <c r="B5990" s="32"/>
    </row>
    <row r="5991" spans="1:2" x14ac:dyDescent="0.35">
      <c r="A5991" s="32"/>
      <c r="B5991" s="32"/>
    </row>
    <row r="5992" spans="1:2" x14ac:dyDescent="0.35">
      <c r="A5992" s="32"/>
      <c r="B5992" s="32"/>
    </row>
    <row r="5993" spans="1:2" x14ac:dyDescent="0.35">
      <c r="A5993" s="32"/>
      <c r="B5993" s="32"/>
    </row>
    <row r="5994" spans="1:2" x14ac:dyDescent="0.35">
      <c r="A5994" s="32"/>
      <c r="B5994" s="32"/>
    </row>
    <row r="5995" spans="1:2" x14ac:dyDescent="0.35">
      <c r="A5995" s="32"/>
      <c r="B5995" s="32"/>
    </row>
    <row r="5996" spans="1:2" x14ac:dyDescent="0.35">
      <c r="A5996" s="32"/>
      <c r="B5996" s="32"/>
    </row>
    <row r="5997" spans="1:2" x14ac:dyDescent="0.35">
      <c r="A5997" s="32"/>
      <c r="B5997" s="32"/>
    </row>
    <row r="5998" spans="1:2" x14ac:dyDescent="0.35">
      <c r="A5998" s="32"/>
      <c r="B5998" s="32"/>
    </row>
    <row r="5999" spans="1:2" x14ac:dyDescent="0.35">
      <c r="A5999" s="32"/>
      <c r="B5999" s="32"/>
    </row>
    <row r="6000" spans="1:2" x14ac:dyDescent="0.35">
      <c r="A6000" s="32"/>
      <c r="B6000" s="32"/>
    </row>
    <row r="6001" spans="1:2" x14ac:dyDescent="0.35">
      <c r="A6001" s="32"/>
      <c r="B6001" s="32"/>
    </row>
    <row r="6002" spans="1:2" x14ac:dyDescent="0.35">
      <c r="A6002" s="32"/>
      <c r="B6002" s="32"/>
    </row>
    <row r="6003" spans="1:2" x14ac:dyDescent="0.35">
      <c r="A6003" s="32"/>
      <c r="B6003" s="32"/>
    </row>
    <row r="6004" spans="1:2" x14ac:dyDescent="0.35">
      <c r="A6004" s="32"/>
      <c r="B6004" s="32"/>
    </row>
    <row r="6005" spans="1:2" x14ac:dyDescent="0.35">
      <c r="A6005" s="32"/>
      <c r="B6005" s="32"/>
    </row>
    <row r="6006" spans="1:2" x14ac:dyDescent="0.35">
      <c r="A6006" s="32"/>
      <c r="B6006" s="32"/>
    </row>
    <row r="6007" spans="1:2" x14ac:dyDescent="0.35">
      <c r="A6007" s="32"/>
      <c r="B6007" s="32"/>
    </row>
    <row r="6008" spans="1:2" x14ac:dyDescent="0.35">
      <c r="A6008" s="32"/>
      <c r="B6008" s="32"/>
    </row>
    <row r="6009" spans="1:2" x14ac:dyDescent="0.35">
      <c r="A6009" s="32"/>
      <c r="B6009" s="32"/>
    </row>
    <row r="6010" spans="1:2" x14ac:dyDescent="0.35">
      <c r="A6010" s="32"/>
      <c r="B6010" s="32"/>
    </row>
    <row r="6011" spans="1:2" x14ac:dyDescent="0.35">
      <c r="A6011" s="32"/>
      <c r="B6011" s="32"/>
    </row>
    <row r="6012" spans="1:2" x14ac:dyDescent="0.35">
      <c r="A6012" s="32"/>
      <c r="B6012" s="32"/>
    </row>
    <row r="6013" spans="1:2" x14ac:dyDescent="0.35">
      <c r="A6013" s="32"/>
      <c r="B6013" s="32"/>
    </row>
    <row r="6014" spans="1:2" x14ac:dyDescent="0.35">
      <c r="A6014" s="32"/>
      <c r="B6014" s="32"/>
    </row>
    <row r="6015" spans="1:2" x14ac:dyDescent="0.35">
      <c r="A6015" s="32"/>
      <c r="B6015" s="32"/>
    </row>
    <row r="6016" spans="1:2" x14ac:dyDescent="0.35">
      <c r="A6016" s="32"/>
      <c r="B6016" s="32"/>
    </row>
    <row r="6017" spans="1:2" x14ac:dyDescent="0.35">
      <c r="A6017" s="32"/>
      <c r="B6017" s="32"/>
    </row>
    <row r="6018" spans="1:2" x14ac:dyDescent="0.35">
      <c r="A6018" s="32"/>
      <c r="B6018" s="32"/>
    </row>
    <row r="6019" spans="1:2" x14ac:dyDescent="0.35">
      <c r="A6019" s="32"/>
      <c r="B6019" s="32"/>
    </row>
    <row r="6020" spans="1:2" x14ac:dyDescent="0.35">
      <c r="A6020" s="32"/>
      <c r="B6020" s="32"/>
    </row>
    <row r="6021" spans="1:2" x14ac:dyDescent="0.35">
      <c r="A6021" s="32"/>
      <c r="B6021" s="32"/>
    </row>
    <row r="6022" spans="1:2" x14ac:dyDescent="0.35">
      <c r="A6022" s="32"/>
      <c r="B6022" s="32"/>
    </row>
    <row r="6023" spans="1:2" x14ac:dyDescent="0.35">
      <c r="A6023" s="32"/>
      <c r="B6023" s="32"/>
    </row>
    <row r="6024" spans="1:2" x14ac:dyDescent="0.35">
      <c r="A6024" s="32"/>
      <c r="B6024" s="32"/>
    </row>
    <row r="6025" spans="1:2" x14ac:dyDescent="0.35">
      <c r="A6025" s="32"/>
      <c r="B6025" s="32"/>
    </row>
    <row r="6026" spans="1:2" x14ac:dyDescent="0.35">
      <c r="A6026" s="32"/>
      <c r="B6026" s="32"/>
    </row>
    <row r="6027" spans="1:2" x14ac:dyDescent="0.35">
      <c r="A6027" s="32"/>
      <c r="B6027" s="32"/>
    </row>
    <row r="6028" spans="1:2" x14ac:dyDescent="0.35">
      <c r="A6028" s="32"/>
      <c r="B6028" s="32"/>
    </row>
    <row r="6029" spans="1:2" x14ac:dyDescent="0.35">
      <c r="A6029" s="32"/>
      <c r="B6029" s="32"/>
    </row>
    <row r="6030" spans="1:2" x14ac:dyDescent="0.35">
      <c r="A6030" s="32"/>
      <c r="B6030" s="32"/>
    </row>
    <row r="6031" spans="1:2" x14ac:dyDescent="0.35">
      <c r="A6031" s="32"/>
      <c r="B6031" s="32"/>
    </row>
    <row r="6032" spans="1:2" x14ac:dyDescent="0.35">
      <c r="A6032" s="32"/>
      <c r="B6032" s="32"/>
    </row>
    <row r="6033" spans="1:2" x14ac:dyDescent="0.35">
      <c r="A6033" s="32"/>
      <c r="B6033" s="32"/>
    </row>
    <row r="6034" spans="1:2" x14ac:dyDescent="0.35">
      <c r="A6034" s="32"/>
      <c r="B6034" s="32"/>
    </row>
    <row r="6035" spans="1:2" x14ac:dyDescent="0.35">
      <c r="A6035" s="32"/>
      <c r="B6035" s="32"/>
    </row>
    <row r="6036" spans="1:2" x14ac:dyDescent="0.35">
      <c r="A6036" s="32"/>
      <c r="B6036" s="32"/>
    </row>
    <row r="6037" spans="1:2" x14ac:dyDescent="0.35">
      <c r="A6037" s="32"/>
      <c r="B6037" s="32"/>
    </row>
    <row r="6038" spans="1:2" x14ac:dyDescent="0.35">
      <c r="A6038" s="32"/>
      <c r="B6038" s="32"/>
    </row>
    <row r="6039" spans="1:2" x14ac:dyDescent="0.35">
      <c r="A6039" s="32"/>
      <c r="B6039" s="32"/>
    </row>
    <row r="6040" spans="1:2" x14ac:dyDescent="0.35">
      <c r="A6040" s="32"/>
      <c r="B6040" s="32"/>
    </row>
    <row r="6041" spans="1:2" x14ac:dyDescent="0.35">
      <c r="A6041" s="32"/>
      <c r="B6041" s="32"/>
    </row>
    <row r="6042" spans="1:2" x14ac:dyDescent="0.35">
      <c r="A6042" s="32"/>
      <c r="B6042" s="32"/>
    </row>
    <row r="6043" spans="1:2" x14ac:dyDescent="0.35">
      <c r="A6043" s="32"/>
      <c r="B6043" s="32"/>
    </row>
    <row r="6044" spans="1:2" x14ac:dyDescent="0.35">
      <c r="A6044" s="32"/>
      <c r="B6044" s="32"/>
    </row>
    <row r="6045" spans="1:2" x14ac:dyDescent="0.35">
      <c r="A6045" s="32"/>
      <c r="B6045" s="32"/>
    </row>
    <row r="6046" spans="1:2" x14ac:dyDescent="0.35">
      <c r="A6046" s="32"/>
      <c r="B6046" s="32"/>
    </row>
    <row r="6047" spans="1:2" x14ac:dyDescent="0.35">
      <c r="A6047" s="32"/>
      <c r="B6047" s="32"/>
    </row>
    <row r="6048" spans="1:2" x14ac:dyDescent="0.35">
      <c r="A6048" s="32"/>
      <c r="B6048" s="32"/>
    </row>
    <row r="6049" spans="1:2" x14ac:dyDescent="0.35">
      <c r="A6049" s="32"/>
      <c r="B6049" s="32"/>
    </row>
    <row r="6050" spans="1:2" x14ac:dyDescent="0.35">
      <c r="A6050" s="32"/>
      <c r="B6050" s="32"/>
    </row>
    <row r="6051" spans="1:2" x14ac:dyDescent="0.35">
      <c r="A6051" s="32"/>
      <c r="B6051" s="32"/>
    </row>
    <row r="6052" spans="1:2" x14ac:dyDescent="0.35">
      <c r="A6052" s="32"/>
      <c r="B6052" s="32"/>
    </row>
    <row r="6053" spans="1:2" x14ac:dyDescent="0.35">
      <c r="A6053" s="32"/>
      <c r="B6053" s="32"/>
    </row>
    <row r="6054" spans="1:2" x14ac:dyDescent="0.35">
      <c r="A6054" s="32"/>
      <c r="B6054" s="32"/>
    </row>
    <row r="6055" spans="1:2" x14ac:dyDescent="0.35">
      <c r="A6055" s="32"/>
      <c r="B6055" s="32"/>
    </row>
    <row r="6056" spans="1:2" x14ac:dyDescent="0.35">
      <c r="A6056" s="32"/>
      <c r="B6056" s="32"/>
    </row>
    <row r="6057" spans="1:2" x14ac:dyDescent="0.35">
      <c r="A6057" s="32"/>
      <c r="B6057" s="32"/>
    </row>
    <row r="6058" spans="1:2" x14ac:dyDescent="0.35">
      <c r="A6058" s="32"/>
      <c r="B6058" s="32"/>
    </row>
    <row r="6059" spans="1:2" x14ac:dyDescent="0.35">
      <c r="A6059" s="32"/>
      <c r="B6059" s="32"/>
    </row>
    <row r="6060" spans="1:2" x14ac:dyDescent="0.35">
      <c r="A6060" s="32"/>
      <c r="B6060" s="32"/>
    </row>
    <row r="6061" spans="1:2" x14ac:dyDescent="0.35">
      <c r="A6061" s="32"/>
      <c r="B6061" s="32"/>
    </row>
    <row r="6062" spans="1:2" x14ac:dyDescent="0.35">
      <c r="A6062" s="32"/>
      <c r="B6062" s="32"/>
    </row>
    <row r="6063" spans="1:2" x14ac:dyDescent="0.35">
      <c r="A6063" s="32"/>
      <c r="B6063" s="32"/>
    </row>
    <row r="6064" spans="1:2" x14ac:dyDescent="0.35">
      <c r="A6064" s="32"/>
      <c r="B6064" s="32"/>
    </row>
    <row r="6065" spans="1:2" x14ac:dyDescent="0.35">
      <c r="A6065" s="32"/>
      <c r="B6065" s="32"/>
    </row>
    <row r="6066" spans="1:2" x14ac:dyDescent="0.35">
      <c r="A6066" s="32"/>
      <c r="B6066" s="32"/>
    </row>
    <row r="6067" spans="1:2" x14ac:dyDescent="0.35">
      <c r="A6067" s="32"/>
      <c r="B6067" s="32"/>
    </row>
    <row r="6068" spans="1:2" x14ac:dyDescent="0.35">
      <c r="A6068" s="32"/>
      <c r="B6068" s="32"/>
    </row>
    <row r="6069" spans="1:2" x14ac:dyDescent="0.35">
      <c r="A6069" s="32"/>
      <c r="B6069" s="32"/>
    </row>
    <row r="6070" spans="1:2" x14ac:dyDescent="0.35">
      <c r="A6070" s="32"/>
      <c r="B6070" s="32"/>
    </row>
    <row r="6071" spans="1:2" x14ac:dyDescent="0.35">
      <c r="A6071" s="32"/>
      <c r="B6071" s="32"/>
    </row>
    <row r="6072" spans="1:2" x14ac:dyDescent="0.35">
      <c r="A6072" s="32"/>
      <c r="B6072" s="32"/>
    </row>
    <row r="6073" spans="1:2" x14ac:dyDescent="0.35">
      <c r="A6073" s="32"/>
      <c r="B6073" s="32"/>
    </row>
    <row r="6074" spans="1:2" x14ac:dyDescent="0.35">
      <c r="A6074" s="32"/>
      <c r="B6074" s="32"/>
    </row>
    <row r="6075" spans="1:2" x14ac:dyDescent="0.35">
      <c r="A6075" s="32"/>
      <c r="B6075" s="32"/>
    </row>
    <row r="6076" spans="1:2" x14ac:dyDescent="0.35">
      <c r="A6076" s="32"/>
      <c r="B6076" s="32"/>
    </row>
    <row r="6077" spans="1:2" x14ac:dyDescent="0.35">
      <c r="A6077" s="32"/>
      <c r="B6077" s="32"/>
    </row>
    <row r="6078" spans="1:2" x14ac:dyDescent="0.35">
      <c r="A6078" s="32"/>
      <c r="B6078" s="32"/>
    </row>
    <row r="6079" spans="1:2" x14ac:dyDescent="0.35">
      <c r="A6079" s="32"/>
      <c r="B6079" s="32"/>
    </row>
    <row r="6080" spans="1:2" x14ac:dyDescent="0.35">
      <c r="A6080" s="32"/>
      <c r="B6080" s="32"/>
    </row>
    <row r="6081" spans="1:2" x14ac:dyDescent="0.35">
      <c r="A6081" s="32"/>
      <c r="B6081" s="32"/>
    </row>
    <row r="6082" spans="1:2" x14ac:dyDescent="0.35">
      <c r="A6082" s="32"/>
      <c r="B6082" s="32"/>
    </row>
    <row r="6083" spans="1:2" x14ac:dyDescent="0.35">
      <c r="A6083" s="32"/>
      <c r="B6083" s="32"/>
    </row>
    <row r="6084" spans="1:2" x14ac:dyDescent="0.35">
      <c r="A6084" s="32"/>
      <c r="B6084" s="32"/>
    </row>
    <row r="6085" spans="1:2" x14ac:dyDescent="0.35">
      <c r="A6085" s="32"/>
      <c r="B6085" s="32"/>
    </row>
    <row r="6086" spans="1:2" x14ac:dyDescent="0.35">
      <c r="A6086" s="32"/>
      <c r="B6086" s="32"/>
    </row>
    <row r="6087" spans="1:2" x14ac:dyDescent="0.35">
      <c r="A6087" s="32"/>
      <c r="B6087" s="32"/>
    </row>
    <row r="6088" spans="1:2" x14ac:dyDescent="0.35">
      <c r="A6088" s="32"/>
      <c r="B6088" s="32"/>
    </row>
    <row r="6089" spans="1:2" x14ac:dyDescent="0.35">
      <c r="A6089" s="32"/>
      <c r="B6089" s="32"/>
    </row>
    <row r="6090" spans="1:2" x14ac:dyDescent="0.35">
      <c r="A6090" s="32"/>
      <c r="B6090" s="32"/>
    </row>
    <row r="6091" spans="1:2" x14ac:dyDescent="0.35">
      <c r="A6091" s="32"/>
      <c r="B6091" s="32"/>
    </row>
    <row r="6092" spans="1:2" x14ac:dyDescent="0.35">
      <c r="A6092" s="32"/>
      <c r="B6092" s="32"/>
    </row>
    <row r="6093" spans="1:2" x14ac:dyDescent="0.35">
      <c r="A6093" s="32"/>
      <c r="B6093" s="32"/>
    </row>
    <row r="6094" spans="1:2" x14ac:dyDescent="0.35">
      <c r="A6094" s="32"/>
      <c r="B6094" s="32"/>
    </row>
    <row r="6095" spans="1:2" x14ac:dyDescent="0.35">
      <c r="A6095" s="32"/>
      <c r="B6095" s="32"/>
    </row>
    <row r="6096" spans="1:2" x14ac:dyDescent="0.35">
      <c r="A6096" s="32"/>
      <c r="B6096" s="32"/>
    </row>
    <row r="6097" spans="1:2" x14ac:dyDescent="0.35">
      <c r="A6097" s="32"/>
      <c r="B6097" s="32"/>
    </row>
    <row r="6098" spans="1:2" x14ac:dyDescent="0.35">
      <c r="A6098" s="32"/>
      <c r="B6098" s="32"/>
    </row>
    <row r="6099" spans="1:2" x14ac:dyDescent="0.35">
      <c r="A6099" s="32"/>
      <c r="B6099" s="32"/>
    </row>
    <row r="6100" spans="1:2" x14ac:dyDescent="0.35">
      <c r="A6100" s="32"/>
      <c r="B6100" s="32"/>
    </row>
    <row r="6101" spans="1:2" x14ac:dyDescent="0.35">
      <c r="A6101" s="32"/>
      <c r="B6101" s="32"/>
    </row>
    <row r="6102" spans="1:2" x14ac:dyDescent="0.35">
      <c r="A6102" s="32"/>
      <c r="B6102" s="32"/>
    </row>
    <row r="6103" spans="1:2" x14ac:dyDescent="0.35">
      <c r="A6103" s="32"/>
      <c r="B6103" s="32"/>
    </row>
    <row r="6104" spans="1:2" x14ac:dyDescent="0.35">
      <c r="A6104" s="32"/>
      <c r="B6104" s="32"/>
    </row>
    <row r="6105" spans="1:2" x14ac:dyDescent="0.35">
      <c r="A6105" s="32"/>
      <c r="B6105" s="32"/>
    </row>
    <row r="6106" spans="1:2" x14ac:dyDescent="0.35">
      <c r="A6106" s="32"/>
      <c r="B6106" s="32"/>
    </row>
    <row r="6107" spans="1:2" x14ac:dyDescent="0.35">
      <c r="A6107" s="32"/>
      <c r="B6107" s="32"/>
    </row>
    <row r="6108" spans="1:2" x14ac:dyDescent="0.35">
      <c r="A6108" s="32"/>
      <c r="B6108" s="32"/>
    </row>
    <row r="6109" spans="1:2" x14ac:dyDescent="0.35">
      <c r="A6109" s="32"/>
      <c r="B6109" s="32"/>
    </row>
    <row r="6110" spans="1:2" x14ac:dyDescent="0.35">
      <c r="A6110" s="32"/>
      <c r="B6110" s="32"/>
    </row>
    <row r="6111" spans="1:2" x14ac:dyDescent="0.35">
      <c r="A6111" s="32"/>
      <c r="B6111" s="32"/>
    </row>
    <row r="6112" spans="1:2" x14ac:dyDescent="0.35">
      <c r="A6112" s="32"/>
      <c r="B6112" s="32"/>
    </row>
    <row r="6113" spans="1:2" x14ac:dyDescent="0.35">
      <c r="A6113" s="32"/>
      <c r="B6113" s="32"/>
    </row>
    <row r="6114" spans="1:2" x14ac:dyDescent="0.35">
      <c r="A6114" s="32"/>
      <c r="B6114" s="32"/>
    </row>
    <row r="6115" spans="1:2" x14ac:dyDescent="0.35">
      <c r="A6115" s="32"/>
      <c r="B6115" s="32"/>
    </row>
    <row r="6116" spans="1:2" x14ac:dyDescent="0.35">
      <c r="A6116" s="32"/>
      <c r="B6116" s="32"/>
    </row>
    <row r="6117" spans="1:2" x14ac:dyDescent="0.35">
      <c r="A6117" s="32"/>
      <c r="B6117" s="32"/>
    </row>
    <row r="6118" spans="1:2" x14ac:dyDescent="0.35">
      <c r="A6118" s="32"/>
      <c r="B6118" s="32"/>
    </row>
    <row r="6119" spans="1:2" x14ac:dyDescent="0.35">
      <c r="A6119" s="32"/>
      <c r="B6119" s="32"/>
    </row>
    <row r="6120" spans="1:2" x14ac:dyDescent="0.35">
      <c r="A6120" s="32"/>
      <c r="B6120" s="32"/>
    </row>
    <row r="6121" spans="1:2" x14ac:dyDescent="0.35">
      <c r="A6121" s="32"/>
      <c r="B6121" s="32"/>
    </row>
    <row r="6122" spans="1:2" x14ac:dyDescent="0.35">
      <c r="A6122" s="32"/>
      <c r="B6122" s="32"/>
    </row>
    <row r="6123" spans="1:2" x14ac:dyDescent="0.35">
      <c r="A6123" s="32"/>
      <c r="B6123" s="32"/>
    </row>
    <row r="6124" spans="1:2" x14ac:dyDescent="0.35">
      <c r="A6124" s="32"/>
      <c r="B6124" s="32"/>
    </row>
    <row r="6125" spans="1:2" x14ac:dyDescent="0.35">
      <c r="A6125" s="32"/>
      <c r="B6125" s="32"/>
    </row>
    <row r="6126" spans="1:2" x14ac:dyDescent="0.35">
      <c r="A6126" s="32"/>
      <c r="B6126" s="32"/>
    </row>
    <row r="6127" spans="1:2" x14ac:dyDescent="0.35">
      <c r="A6127" s="32"/>
      <c r="B6127" s="32"/>
    </row>
    <row r="6128" spans="1:2" x14ac:dyDescent="0.35">
      <c r="A6128" s="32"/>
      <c r="B6128" s="32"/>
    </row>
    <row r="6129" spans="1:2" x14ac:dyDescent="0.35">
      <c r="A6129" s="32"/>
      <c r="B6129" s="32"/>
    </row>
    <row r="6130" spans="1:2" x14ac:dyDescent="0.35">
      <c r="A6130" s="32"/>
      <c r="B6130" s="32"/>
    </row>
    <row r="6131" spans="1:2" x14ac:dyDescent="0.35">
      <c r="A6131" s="32"/>
      <c r="B6131" s="32"/>
    </row>
    <row r="6132" spans="1:2" x14ac:dyDescent="0.35">
      <c r="A6132" s="32"/>
      <c r="B6132" s="32"/>
    </row>
    <row r="6133" spans="1:2" x14ac:dyDescent="0.35">
      <c r="A6133" s="32"/>
      <c r="B6133" s="32"/>
    </row>
    <row r="6134" spans="1:2" x14ac:dyDescent="0.35">
      <c r="A6134" s="32"/>
      <c r="B6134" s="32"/>
    </row>
    <row r="6135" spans="1:2" x14ac:dyDescent="0.35">
      <c r="A6135" s="32"/>
      <c r="B6135" s="32"/>
    </row>
    <row r="6136" spans="1:2" x14ac:dyDescent="0.35">
      <c r="A6136" s="32"/>
      <c r="B6136" s="32"/>
    </row>
    <row r="6137" spans="1:2" x14ac:dyDescent="0.35">
      <c r="A6137" s="32"/>
      <c r="B6137" s="32"/>
    </row>
    <row r="6138" spans="1:2" x14ac:dyDescent="0.35">
      <c r="A6138" s="32"/>
      <c r="B6138" s="32"/>
    </row>
    <row r="6139" spans="1:2" x14ac:dyDescent="0.35">
      <c r="A6139" s="32"/>
      <c r="B6139" s="32"/>
    </row>
    <row r="6140" spans="1:2" x14ac:dyDescent="0.35">
      <c r="A6140" s="32"/>
      <c r="B6140" s="32"/>
    </row>
    <row r="6141" spans="1:2" x14ac:dyDescent="0.35">
      <c r="A6141" s="32"/>
      <c r="B6141" s="32"/>
    </row>
    <row r="6142" spans="1:2" x14ac:dyDescent="0.35">
      <c r="A6142" s="32"/>
      <c r="B6142" s="32"/>
    </row>
    <row r="6143" spans="1:2" x14ac:dyDescent="0.35">
      <c r="A6143" s="32"/>
      <c r="B6143" s="32"/>
    </row>
    <row r="6144" spans="1:2" x14ac:dyDescent="0.35">
      <c r="A6144" s="32"/>
      <c r="B6144" s="32"/>
    </row>
    <row r="6145" spans="1:2" x14ac:dyDescent="0.35">
      <c r="A6145" s="32"/>
      <c r="B6145" s="32"/>
    </row>
    <row r="6146" spans="1:2" x14ac:dyDescent="0.35">
      <c r="A6146" s="32"/>
      <c r="B6146" s="32"/>
    </row>
    <row r="6147" spans="1:2" x14ac:dyDescent="0.35">
      <c r="A6147" s="32"/>
      <c r="B6147" s="32"/>
    </row>
    <row r="6148" spans="1:2" x14ac:dyDescent="0.35">
      <c r="A6148" s="32"/>
      <c r="B6148" s="32"/>
    </row>
    <row r="6149" spans="1:2" x14ac:dyDescent="0.35">
      <c r="A6149" s="32"/>
      <c r="B6149" s="32"/>
    </row>
    <row r="6150" spans="1:2" x14ac:dyDescent="0.35">
      <c r="A6150" s="32"/>
      <c r="B6150" s="32"/>
    </row>
    <row r="6151" spans="1:2" x14ac:dyDescent="0.35">
      <c r="A6151" s="32"/>
      <c r="B6151" s="32"/>
    </row>
    <row r="6152" spans="1:2" x14ac:dyDescent="0.35">
      <c r="A6152" s="32"/>
      <c r="B6152" s="32"/>
    </row>
    <row r="6153" spans="1:2" x14ac:dyDescent="0.35">
      <c r="A6153" s="32"/>
      <c r="B6153" s="32"/>
    </row>
    <row r="6154" spans="1:2" x14ac:dyDescent="0.35">
      <c r="A6154" s="32"/>
      <c r="B6154" s="32"/>
    </row>
    <row r="6155" spans="1:2" x14ac:dyDescent="0.35">
      <c r="A6155" s="32"/>
      <c r="B6155" s="32"/>
    </row>
    <row r="6156" spans="1:2" x14ac:dyDescent="0.35">
      <c r="A6156" s="32"/>
      <c r="B6156" s="32"/>
    </row>
    <row r="6157" spans="1:2" x14ac:dyDescent="0.35">
      <c r="A6157" s="32"/>
      <c r="B6157" s="32"/>
    </row>
    <row r="6158" spans="1:2" x14ac:dyDescent="0.35">
      <c r="A6158" s="32"/>
      <c r="B6158" s="32"/>
    </row>
    <row r="6159" spans="1:2" x14ac:dyDescent="0.35">
      <c r="A6159" s="32"/>
      <c r="B6159" s="32"/>
    </row>
    <row r="6160" spans="1:2" x14ac:dyDescent="0.35">
      <c r="A6160" s="32"/>
      <c r="B6160" s="32"/>
    </row>
    <row r="6161" spans="1:2" x14ac:dyDescent="0.35">
      <c r="A6161" s="32"/>
      <c r="B6161" s="32"/>
    </row>
    <row r="6162" spans="1:2" x14ac:dyDescent="0.35">
      <c r="A6162" s="32"/>
      <c r="B6162" s="32"/>
    </row>
    <row r="6163" spans="1:2" x14ac:dyDescent="0.35">
      <c r="A6163" s="32"/>
      <c r="B6163" s="32"/>
    </row>
    <row r="6164" spans="1:2" x14ac:dyDescent="0.35">
      <c r="A6164" s="32"/>
      <c r="B6164" s="32"/>
    </row>
    <row r="6165" spans="1:2" x14ac:dyDescent="0.35">
      <c r="A6165" s="32"/>
      <c r="B6165" s="32"/>
    </row>
    <row r="6166" spans="1:2" x14ac:dyDescent="0.35">
      <c r="A6166" s="32"/>
      <c r="B6166" s="32"/>
    </row>
    <row r="6167" spans="1:2" x14ac:dyDescent="0.35">
      <c r="A6167" s="32"/>
      <c r="B6167" s="32"/>
    </row>
    <row r="6168" spans="1:2" x14ac:dyDescent="0.35">
      <c r="A6168" s="32"/>
      <c r="B6168" s="32"/>
    </row>
    <row r="6169" spans="1:2" x14ac:dyDescent="0.35">
      <c r="A6169" s="32"/>
      <c r="B6169" s="32"/>
    </row>
    <row r="6170" spans="1:2" x14ac:dyDescent="0.35">
      <c r="A6170" s="32"/>
      <c r="B6170" s="32"/>
    </row>
    <row r="6171" spans="1:2" x14ac:dyDescent="0.35">
      <c r="A6171" s="32"/>
      <c r="B6171" s="32"/>
    </row>
    <row r="6172" spans="1:2" x14ac:dyDescent="0.35">
      <c r="A6172" s="32"/>
      <c r="B6172" s="32"/>
    </row>
    <row r="6173" spans="1:2" x14ac:dyDescent="0.35">
      <c r="A6173" s="32"/>
      <c r="B6173" s="32"/>
    </row>
    <row r="6174" spans="1:2" x14ac:dyDescent="0.35">
      <c r="A6174" s="32"/>
      <c r="B6174" s="32"/>
    </row>
    <row r="6175" spans="1:2" x14ac:dyDescent="0.35">
      <c r="A6175" s="32"/>
      <c r="B6175" s="32"/>
    </row>
    <row r="6176" spans="1:2" x14ac:dyDescent="0.35">
      <c r="A6176" s="32"/>
      <c r="B6176" s="32"/>
    </row>
    <row r="6177" spans="1:2" x14ac:dyDescent="0.35">
      <c r="A6177" s="32"/>
      <c r="B6177" s="32"/>
    </row>
    <row r="6178" spans="1:2" x14ac:dyDescent="0.35">
      <c r="A6178" s="32"/>
      <c r="B6178" s="32"/>
    </row>
    <row r="6179" spans="1:2" x14ac:dyDescent="0.35">
      <c r="A6179" s="32"/>
      <c r="B6179" s="32"/>
    </row>
    <row r="6180" spans="1:2" x14ac:dyDescent="0.35">
      <c r="A6180" s="32"/>
      <c r="B6180" s="32"/>
    </row>
    <row r="6181" spans="1:2" x14ac:dyDescent="0.35">
      <c r="A6181" s="32"/>
      <c r="B6181" s="32"/>
    </row>
    <row r="6182" spans="1:2" x14ac:dyDescent="0.35">
      <c r="A6182" s="32"/>
      <c r="B6182" s="32"/>
    </row>
    <row r="6183" spans="1:2" x14ac:dyDescent="0.35">
      <c r="A6183" s="32"/>
      <c r="B6183" s="32"/>
    </row>
    <row r="6184" spans="1:2" x14ac:dyDescent="0.35">
      <c r="A6184" s="32"/>
      <c r="B6184" s="32"/>
    </row>
    <row r="6185" spans="1:2" x14ac:dyDescent="0.35">
      <c r="A6185" s="32"/>
      <c r="B6185" s="32"/>
    </row>
    <row r="6186" spans="1:2" x14ac:dyDescent="0.35">
      <c r="A6186" s="32"/>
      <c r="B6186" s="32"/>
    </row>
    <row r="6187" spans="1:2" x14ac:dyDescent="0.35">
      <c r="A6187" s="32"/>
      <c r="B6187" s="32"/>
    </row>
    <row r="6188" spans="1:2" x14ac:dyDescent="0.35">
      <c r="A6188" s="32"/>
      <c r="B6188" s="32"/>
    </row>
    <row r="6189" spans="1:2" x14ac:dyDescent="0.35">
      <c r="A6189" s="32"/>
      <c r="B6189" s="32"/>
    </row>
    <row r="6190" spans="1:2" x14ac:dyDescent="0.35">
      <c r="A6190" s="32"/>
      <c r="B6190" s="32"/>
    </row>
    <row r="6191" spans="1:2" x14ac:dyDescent="0.35">
      <c r="A6191" s="32"/>
      <c r="B6191" s="32"/>
    </row>
    <row r="6192" spans="1:2" x14ac:dyDescent="0.35">
      <c r="A6192" s="32"/>
      <c r="B6192" s="32"/>
    </row>
    <row r="6193" spans="1:2" x14ac:dyDescent="0.35">
      <c r="A6193" s="32"/>
      <c r="B6193" s="32"/>
    </row>
    <row r="6194" spans="1:2" x14ac:dyDescent="0.35">
      <c r="A6194" s="32"/>
      <c r="B6194" s="32"/>
    </row>
    <row r="6195" spans="1:2" x14ac:dyDescent="0.35">
      <c r="A6195" s="32"/>
      <c r="B6195" s="32"/>
    </row>
    <row r="6196" spans="1:2" x14ac:dyDescent="0.35">
      <c r="A6196" s="32"/>
      <c r="B6196" s="32"/>
    </row>
    <row r="6197" spans="1:2" x14ac:dyDescent="0.35">
      <c r="A6197" s="32"/>
      <c r="B6197" s="32"/>
    </row>
    <row r="6198" spans="1:2" x14ac:dyDescent="0.35">
      <c r="A6198" s="32"/>
      <c r="B6198" s="32"/>
    </row>
    <row r="6199" spans="1:2" x14ac:dyDescent="0.35">
      <c r="A6199" s="32"/>
      <c r="B6199" s="32"/>
    </row>
    <row r="6200" spans="1:2" x14ac:dyDescent="0.35">
      <c r="A6200" s="32"/>
      <c r="B6200" s="32"/>
    </row>
    <row r="6201" spans="1:2" x14ac:dyDescent="0.35">
      <c r="A6201" s="32"/>
      <c r="B6201" s="32"/>
    </row>
    <row r="6202" spans="1:2" x14ac:dyDescent="0.35">
      <c r="A6202" s="32"/>
      <c r="B6202" s="32"/>
    </row>
    <row r="6203" spans="1:2" x14ac:dyDescent="0.35">
      <c r="A6203" s="32"/>
      <c r="B6203" s="32"/>
    </row>
    <row r="6204" spans="1:2" x14ac:dyDescent="0.35">
      <c r="A6204" s="32"/>
      <c r="B6204" s="32"/>
    </row>
    <row r="6205" spans="1:2" x14ac:dyDescent="0.35">
      <c r="A6205" s="32"/>
      <c r="B6205" s="32"/>
    </row>
    <row r="6206" spans="1:2" x14ac:dyDescent="0.35">
      <c r="A6206" s="32"/>
      <c r="B6206" s="32"/>
    </row>
    <row r="6207" spans="1:2" x14ac:dyDescent="0.35">
      <c r="A6207" s="32"/>
      <c r="B6207" s="32"/>
    </row>
    <row r="6208" spans="1:2" x14ac:dyDescent="0.35">
      <c r="A6208" s="32"/>
      <c r="B6208" s="32"/>
    </row>
    <row r="6209" spans="1:2" x14ac:dyDescent="0.35">
      <c r="A6209" s="32"/>
      <c r="B6209" s="32"/>
    </row>
    <row r="6210" spans="1:2" x14ac:dyDescent="0.35">
      <c r="A6210" s="32"/>
      <c r="B6210" s="32"/>
    </row>
    <row r="6211" spans="1:2" x14ac:dyDescent="0.35">
      <c r="A6211" s="32"/>
      <c r="B6211" s="32"/>
    </row>
    <row r="6212" spans="1:2" x14ac:dyDescent="0.35">
      <c r="A6212" s="32"/>
      <c r="B6212" s="32"/>
    </row>
    <row r="6213" spans="1:2" x14ac:dyDescent="0.35">
      <c r="A6213" s="32"/>
      <c r="B6213" s="32"/>
    </row>
    <row r="6214" spans="1:2" x14ac:dyDescent="0.35">
      <c r="A6214" s="32"/>
      <c r="B6214" s="32"/>
    </row>
    <row r="6215" spans="1:2" x14ac:dyDescent="0.35">
      <c r="A6215" s="32"/>
      <c r="B6215" s="32"/>
    </row>
    <row r="6216" spans="1:2" x14ac:dyDescent="0.35">
      <c r="A6216" s="32"/>
      <c r="B6216" s="32"/>
    </row>
    <row r="6217" spans="1:2" x14ac:dyDescent="0.35">
      <c r="A6217" s="32"/>
      <c r="B6217" s="32"/>
    </row>
    <row r="6218" spans="1:2" x14ac:dyDescent="0.35">
      <c r="A6218" s="32"/>
      <c r="B6218" s="32"/>
    </row>
    <row r="6219" spans="1:2" x14ac:dyDescent="0.35">
      <c r="A6219" s="32"/>
      <c r="B6219" s="32"/>
    </row>
    <row r="6220" spans="1:2" x14ac:dyDescent="0.35">
      <c r="A6220" s="32"/>
      <c r="B6220" s="32"/>
    </row>
    <row r="6221" spans="1:2" x14ac:dyDescent="0.35">
      <c r="A6221" s="32"/>
      <c r="B6221" s="32"/>
    </row>
    <row r="6222" spans="1:2" x14ac:dyDescent="0.35">
      <c r="A6222" s="32"/>
      <c r="B6222" s="32"/>
    </row>
    <row r="6223" spans="1:2" x14ac:dyDescent="0.35">
      <c r="A6223" s="32"/>
      <c r="B6223" s="32"/>
    </row>
    <row r="6224" spans="1:2" x14ac:dyDescent="0.35">
      <c r="A6224" s="32"/>
      <c r="B6224" s="32"/>
    </row>
    <row r="6225" spans="1:2" x14ac:dyDescent="0.35">
      <c r="A6225" s="32"/>
      <c r="B6225" s="32"/>
    </row>
    <row r="6226" spans="1:2" x14ac:dyDescent="0.35">
      <c r="A6226" s="32"/>
      <c r="B6226" s="32"/>
    </row>
    <row r="6227" spans="1:2" x14ac:dyDescent="0.35">
      <c r="A6227" s="32"/>
      <c r="B6227" s="32"/>
    </row>
    <row r="6228" spans="1:2" x14ac:dyDescent="0.35">
      <c r="A6228" s="32"/>
      <c r="B6228" s="32"/>
    </row>
    <row r="6229" spans="1:2" x14ac:dyDescent="0.35">
      <c r="A6229" s="32"/>
      <c r="B6229" s="32"/>
    </row>
    <row r="6230" spans="1:2" x14ac:dyDescent="0.35">
      <c r="A6230" s="32"/>
      <c r="B6230" s="32"/>
    </row>
    <row r="6231" spans="1:2" x14ac:dyDescent="0.35">
      <c r="A6231" s="32"/>
      <c r="B6231" s="32"/>
    </row>
    <row r="6232" spans="1:2" x14ac:dyDescent="0.35">
      <c r="A6232" s="32"/>
      <c r="B6232" s="32"/>
    </row>
    <row r="6233" spans="1:2" x14ac:dyDescent="0.35">
      <c r="A6233" s="32"/>
      <c r="B6233" s="32"/>
    </row>
    <row r="6234" spans="1:2" x14ac:dyDescent="0.35">
      <c r="A6234" s="32"/>
      <c r="B6234" s="32"/>
    </row>
    <row r="6235" spans="1:2" x14ac:dyDescent="0.35">
      <c r="A6235" s="32"/>
      <c r="B6235" s="32"/>
    </row>
    <row r="6236" spans="1:2" x14ac:dyDescent="0.35">
      <c r="A6236" s="32"/>
      <c r="B6236" s="32"/>
    </row>
    <row r="6237" spans="1:2" x14ac:dyDescent="0.35">
      <c r="A6237" s="32"/>
      <c r="B6237" s="32"/>
    </row>
    <row r="6238" spans="1:2" x14ac:dyDescent="0.35">
      <c r="A6238" s="32"/>
      <c r="B6238" s="32"/>
    </row>
    <row r="6239" spans="1:2" x14ac:dyDescent="0.35">
      <c r="A6239" s="32"/>
      <c r="B6239" s="32"/>
    </row>
    <row r="6240" spans="1:2" x14ac:dyDescent="0.35">
      <c r="A6240" s="32"/>
      <c r="B6240" s="32"/>
    </row>
    <row r="6241" spans="1:2" x14ac:dyDescent="0.35">
      <c r="A6241" s="32"/>
      <c r="B6241" s="32"/>
    </row>
    <row r="6242" spans="1:2" x14ac:dyDescent="0.35">
      <c r="A6242" s="32"/>
      <c r="B6242" s="32"/>
    </row>
    <row r="6243" spans="1:2" x14ac:dyDescent="0.35">
      <c r="A6243" s="32"/>
      <c r="B6243" s="32"/>
    </row>
    <row r="6244" spans="1:2" x14ac:dyDescent="0.35">
      <c r="A6244" s="32"/>
      <c r="B6244" s="32"/>
    </row>
    <row r="6245" spans="1:2" x14ac:dyDescent="0.35">
      <c r="A6245" s="32"/>
      <c r="B6245" s="32"/>
    </row>
    <row r="6246" spans="1:2" x14ac:dyDescent="0.35">
      <c r="A6246" s="32"/>
      <c r="B6246" s="32"/>
    </row>
    <row r="6247" spans="1:2" x14ac:dyDescent="0.35">
      <c r="A6247" s="32"/>
      <c r="B6247" s="32"/>
    </row>
    <row r="6248" spans="1:2" x14ac:dyDescent="0.35">
      <c r="A6248" s="32"/>
      <c r="B6248" s="32"/>
    </row>
    <row r="6249" spans="1:2" x14ac:dyDescent="0.35">
      <c r="A6249" s="32"/>
      <c r="B6249" s="32"/>
    </row>
    <row r="6250" spans="1:2" x14ac:dyDescent="0.35">
      <c r="A6250" s="32"/>
      <c r="B6250" s="32"/>
    </row>
    <row r="6251" spans="1:2" x14ac:dyDescent="0.35">
      <c r="A6251" s="32"/>
      <c r="B6251" s="32"/>
    </row>
    <row r="6252" spans="1:2" x14ac:dyDescent="0.35">
      <c r="A6252" s="32"/>
      <c r="B6252" s="32"/>
    </row>
    <row r="6253" spans="1:2" x14ac:dyDescent="0.35">
      <c r="A6253" s="32"/>
      <c r="B6253" s="32"/>
    </row>
    <row r="6254" spans="1:2" x14ac:dyDescent="0.35">
      <c r="A6254" s="32"/>
      <c r="B6254" s="32"/>
    </row>
    <row r="6255" spans="1:2" x14ac:dyDescent="0.35">
      <c r="A6255" s="32"/>
      <c r="B6255" s="32"/>
    </row>
    <row r="6256" spans="1:2" x14ac:dyDescent="0.35">
      <c r="A6256" s="32"/>
      <c r="B6256" s="32"/>
    </row>
    <row r="6257" spans="1:2" x14ac:dyDescent="0.35">
      <c r="A6257" s="32"/>
      <c r="B6257" s="32"/>
    </row>
    <row r="6258" spans="1:2" x14ac:dyDescent="0.35">
      <c r="A6258" s="32"/>
      <c r="B6258" s="32"/>
    </row>
    <row r="6259" spans="1:2" x14ac:dyDescent="0.35">
      <c r="A6259" s="32"/>
      <c r="B6259" s="32"/>
    </row>
    <row r="6260" spans="1:2" x14ac:dyDescent="0.35">
      <c r="A6260" s="32"/>
      <c r="B6260" s="32"/>
    </row>
    <row r="6261" spans="1:2" x14ac:dyDescent="0.35">
      <c r="A6261" s="32"/>
      <c r="B6261" s="32"/>
    </row>
    <row r="6262" spans="1:2" x14ac:dyDescent="0.35">
      <c r="A6262" s="32"/>
      <c r="B6262" s="32"/>
    </row>
    <row r="6263" spans="1:2" x14ac:dyDescent="0.35">
      <c r="A6263" s="32"/>
      <c r="B6263" s="32"/>
    </row>
    <row r="6264" spans="1:2" x14ac:dyDescent="0.35">
      <c r="A6264" s="32"/>
      <c r="B6264" s="32"/>
    </row>
    <row r="6265" spans="1:2" x14ac:dyDescent="0.35">
      <c r="A6265" s="32"/>
      <c r="B6265" s="32"/>
    </row>
    <row r="6266" spans="1:2" x14ac:dyDescent="0.35">
      <c r="A6266" s="32"/>
      <c r="B6266" s="32"/>
    </row>
    <row r="6267" spans="1:2" x14ac:dyDescent="0.35">
      <c r="A6267" s="32"/>
      <c r="B6267" s="32"/>
    </row>
    <row r="6268" spans="1:2" x14ac:dyDescent="0.35">
      <c r="A6268" s="32"/>
      <c r="B6268" s="32"/>
    </row>
    <row r="6269" spans="1:2" x14ac:dyDescent="0.35">
      <c r="A6269" s="32"/>
      <c r="B6269" s="32"/>
    </row>
    <row r="6270" spans="1:2" x14ac:dyDescent="0.35">
      <c r="A6270" s="32"/>
      <c r="B6270" s="32"/>
    </row>
    <row r="6271" spans="1:2" x14ac:dyDescent="0.35">
      <c r="A6271" s="32"/>
      <c r="B6271" s="32"/>
    </row>
    <row r="6272" spans="1:2" x14ac:dyDescent="0.35">
      <c r="A6272" s="32"/>
      <c r="B6272" s="32"/>
    </row>
    <row r="6273" spans="1:2" x14ac:dyDescent="0.35">
      <c r="A6273" s="32"/>
      <c r="B6273" s="32"/>
    </row>
    <row r="6274" spans="1:2" x14ac:dyDescent="0.35">
      <c r="A6274" s="32"/>
      <c r="B6274" s="32"/>
    </row>
    <row r="6275" spans="1:2" x14ac:dyDescent="0.35">
      <c r="A6275" s="32"/>
      <c r="B6275" s="32"/>
    </row>
    <row r="6276" spans="1:2" x14ac:dyDescent="0.35">
      <c r="A6276" s="32"/>
      <c r="B6276" s="32"/>
    </row>
    <row r="6277" spans="1:2" x14ac:dyDescent="0.35">
      <c r="A6277" s="32"/>
      <c r="B6277" s="32"/>
    </row>
    <row r="6278" spans="1:2" x14ac:dyDescent="0.35">
      <c r="A6278" s="32"/>
      <c r="B6278" s="32"/>
    </row>
    <row r="6279" spans="1:2" x14ac:dyDescent="0.35">
      <c r="A6279" s="32"/>
      <c r="B6279" s="32"/>
    </row>
    <row r="6280" spans="1:2" x14ac:dyDescent="0.35">
      <c r="A6280" s="32"/>
      <c r="B6280" s="32"/>
    </row>
    <row r="6281" spans="1:2" x14ac:dyDescent="0.35">
      <c r="A6281" s="32"/>
      <c r="B6281" s="32"/>
    </row>
    <row r="6282" spans="1:2" x14ac:dyDescent="0.35">
      <c r="A6282" s="32"/>
      <c r="B6282" s="32"/>
    </row>
    <row r="6283" spans="1:2" x14ac:dyDescent="0.35">
      <c r="A6283" s="32"/>
      <c r="B6283" s="32"/>
    </row>
    <row r="6284" spans="1:2" x14ac:dyDescent="0.35">
      <c r="A6284" s="32"/>
      <c r="B6284" s="32"/>
    </row>
    <row r="6285" spans="1:2" x14ac:dyDescent="0.35">
      <c r="A6285" s="32"/>
      <c r="B6285" s="32"/>
    </row>
    <row r="6286" spans="1:2" x14ac:dyDescent="0.35">
      <c r="A6286" s="32"/>
      <c r="B6286" s="32"/>
    </row>
    <row r="6287" spans="1:2" x14ac:dyDescent="0.35">
      <c r="A6287" s="32"/>
      <c r="B6287" s="32"/>
    </row>
    <row r="6288" spans="1:2" x14ac:dyDescent="0.35">
      <c r="A6288" s="32"/>
      <c r="B6288" s="32"/>
    </row>
    <row r="6289" spans="1:2" x14ac:dyDescent="0.35">
      <c r="A6289" s="32"/>
      <c r="B6289" s="32"/>
    </row>
    <row r="6290" spans="1:2" x14ac:dyDescent="0.35">
      <c r="A6290" s="32"/>
      <c r="B6290" s="32"/>
    </row>
    <row r="6291" spans="1:2" x14ac:dyDescent="0.35">
      <c r="A6291" s="32"/>
      <c r="B6291" s="32"/>
    </row>
    <row r="6292" spans="1:2" x14ac:dyDescent="0.35">
      <c r="A6292" s="32"/>
      <c r="B6292" s="32"/>
    </row>
    <row r="6293" spans="1:2" x14ac:dyDescent="0.35">
      <c r="A6293" s="32"/>
      <c r="B6293" s="32"/>
    </row>
    <row r="6294" spans="1:2" x14ac:dyDescent="0.35">
      <c r="A6294" s="32"/>
      <c r="B6294" s="32"/>
    </row>
    <row r="6295" spans="1:2" x14ac:dyDescent="0.35">
      <c r="A6295" s="32"/>
      <c r="B6295" s="32"/>
    </row>
    <row r="6296" spans="1:2" x14ac:dyDescent="0.35">
      <c r="A6296" s="32"/>
      <c r="B6296" s="32"/>
    </row>
    <row r="6297" spans="1:2" x14ac:dyDescent="0.35">
      <c r="A6297" s="32"/>
      <c r="B6297" s="32"/>
    </row>
    <row r="6298" spans="1:2" x14ac:dyDescent="0.35">
      <c r="A6298" s="32"/>
      <c r="B6298" s="32"/>
    </row>
    <row r="6299" spans="1:2" x14ac:dyDescent="0.35">
      <c r="A6299" s="32"/>
      <c r="B6299" s="32"/>
    </row>
    <row r="6300" spans="1:2" x14ac:dyDescent="0.35">
      <c r="A6300" s="32"/>
      <c r="B6300" s="32"/>
    </row>
    <row r="6301" spans="1:2" x14ac:dyDescent="0.35">
      <c r="A6301" s="32"/>
      <c r="B6301" s="32"/>
    </row>
    <row r="6302" spans="1:2" x14ac:dyDescent="0.35">
      <c r="A6302" s="32"/>
      <c r="B6302" s="32"/>
    </row>
    <row r="6303" spans="1:2" x14ac:dyDescent="0.35">
      <c r="A6303" s="32"/>
      <c r="B6303" s="32"/>
    </row>
    <row r="6304" spans="1:2" x14ac:dyDescent="0.35">
      <c r="A6304" s="32"/>
      <c r="B6304" s="32"/>
    </row>
    <row r="6305" spans="1:2" x14ac:dyDescent="0.35">
      <c r="A6305" s="32"/>
      <c r="B6305" s="32"/>
    </row>
    <row r="6306" spans="1:2" x14ac:dyDescent="0.35">
      <c r="A6306" s="32"/>
      <c r="B6306" s="32"/>
    </row>
    <row r="6307" spans="1:2" x14ac:dyDescent="0.35">
      <c r="A6307" s="32"/>
      <c r="B6307" s="32"/>
    </row>
    <row r="6308" spans="1:2" x14ac:dyDescent="0.35">
      <c r="A6308" s="32"/>
      <c r="B6308" s="32"/>
    </row>
    <row r="6309" spans="1:2" x14ac:dyDescent="0.35">
      <c r="A6309" s="32"/>
      <c r="B6309" s="32"/>
    </row>
    <row r="6310" spans="1:2" x14ac:dyDescent="0.35">
      <c r="A6310" s="32"/>
      <c r="B6310" s="32"/>
    </row>
    <row r="6311" spans="1:2" x14ac:dyDescent="0.35">
      <c r="A6311" s="32"/>
      <c r="B6311" s="32"/>
    </row>
    <row r="6312" spans="1:2" x14ac:dyDescent="0.35">
      <c r="A6312" s="32"/>
      <c r="B6312" s="32"/>
    </row>
    <row r="6313" spans="1:2" x14ac:dyDescent="0.35">
      <c r="A6313" s="32"/>
      <c r="B6313" s="32"/>
    </row>
    <row r="6314" spans="1:2" x14ac:dyDescent="0.35">
      <c r="A6314" s="32"/>
      <c r="B6314" s="32"/>
    </row>
    <row r="6315" spans="1:2" x14ac:dyDescent="0.35">
      <c r="A6315" s="32"/>
      <c r="B6315" s="32"/>
    </row>
    <row r="6316" spans="1:2" x14ac:dyDescent="0.35">
      <c r="A6316" s="32"/>
      <c r="B6316" s="32"/>
    </row>
    <row r="6317" spans="1:2" x14ac:dyDescent="0.35">
      <c r="A6317" s="32"/>
      <c r="B6317" s="32"/>
    </row>
    <row r="6318" spans="1:2" x14ac:dyDescent="0.35">
      <c r="A6318" s="32"/>
      <c r="B6318" s="32"/>
    </row>
    <row r="6319" spans="1:2" x14ac:dyDescent="0.35">
      <c r="A6319" s="32"/>
      <c r="B6319" s="32"/>
    </row>
    <row r="6320" spans="1:2" x14ac:dyDescent="0.35">
      <c r="A6320" s="32"/>
      <c r="B6320" s="32"/>
    </row>
    <row r="6321" spans="1:2" x14ac:dyDescent="0.35">
      <c r="A6321" s="32"/>
      <c r="B6321" s="32"/>
    </row>
    <row r="6322" spans="1:2" x14ac:dyDescent="0.35">
      <c r="A6322" s="32"/>
      <c r="B6322" s="32"/>
    </row>
    <row r="6323" spans="1:2" x14ac:dyDescent="0.35">
      <c r="A6323" s="32"/>
      <c r="B6323" s="32"/>
    </row>
    <row r="6324" spans="1:2" x14ac:dyDescent="0.35">
      <c r="A6324" s="32"/>
      <c r="B6324" s="32"/>
    </row>
    <row r="6325" spans="1:2" x14ac:dyDescent="0.35">
      <c r="A6325" s="32"/>
      <c r="B6325" s="32"/>
    </row>
    <row r="6326" spans="1:2" x14ac:dyDescent="0.35">
      <c r="A6326" s="32"/>
      <c r="B6326" s="32"/>
    </row>
    <row r="6327" spans="1:2" x14ac:dyDescent="0.35">
      <c r="A6327" s="32"/>
      <c r="B6327" s="32"/>
    </row>
    <row r="6328" spans="1:2" x14ac:dyDescent="0.35">
      <c r="A6328" s="32"/>
      <c r="B6328" s="32"/>
    </row>
    <row r="6329" spans="1:2" x14ac:dyDescent="0.35">
      <c r="A6329" s="32"/>
      <c r="B6329" s="32"/>
    </row>
    <row r="6330" spans="1:2" x14ac:dyDescent="0.35">
      <c r="A6330" s="32"/>
      <c r="B6330" s="32"/>
    </row>
    <row r="6331" spans="1:2" x14ac:dyDescent="0.35">
      <c r="A6331" s="32"/>
      <c r="B6331" s="32"/>
    </row>
    <row r="6332" spans="1:2" x14ac:dyDescent="0.35">
      <c r="A6332" s="32"/>
      <c r="B6332" s="32"/>
    </row>
    <row r="6333" spans="1:2" x14ac:dyDescent="0.35">
      <c r="A6333" s="32"/>
      <c r="B6333" s="32"/>
    </row>
    <row r="6334" spans="1:2" x14ac:dyDescent="0.35">
      <c r="A6334" s="32"/>
      <c r="B6334" s="32"/>
    </row>
    <row r="6335" spans="1:2" x14ac:dyDescent="0.35">
      <c r="A6335" s="32"/>
      <c r="B6335" s="32"/>
    </row>
    <row r="6336" spans="1:2" x14ac:dyDescent="0.35">
      <c r="A6336" s="32"/>
      <c r="B6336" s="32"/>
    </row>
    <row r="6337" spans="1:2" x14ac:dyDescent="0.35">
      <c r="A6337" s="32"/>
      <c r="B6337" s="32"/>
    </row>
    <row r="6338" spans="1:2" x14ac:dyDescent="0.35">
      <c r="A6338" s="32"/>
      <c r="B6338" s="32"/>
    </row>
    <row r="6339" spans="1:2" x14ac:dyDescent="0.35">
      <c r="A6339" s="32"/>
      <c r="B6339" s="32"/>
    </row>
    <row r="6340" spans="1:2" x14ac:dyDescent="0.35">
      <c r="A6340" s="32"/>
      <c r="B6340" s="32"/>
    </row>
    <row r="6341" spans="1:2" x14ac:dyDescent="0.35">
      <c r="A6341" s="32"/>
      <c r="B6341" s="32"/>
    </row>
    <row r="6342" spans="1:2" x14ac:dyDescent="0.35">
      <c r="A6342" s="32"/>
      <c r="B6342" s="32"/>
    </row>
    <row r="6343" spans="1:2" x14ac:dyDescent="0.35">
      <c r="A6343" s="32"/>
      <c r="B6343" s="32"/>
    </row>
    <row r="6344" spans="1:2" x14ac:dyDescent="0.35">
      <c r="A6344" s="32"/>
      <c r="B6344" s="32"/>
    </row>
    <row r="6345" spans="1:2" x14ac:dyDescent="0.35">
      <c r="A6345" s="32"/>
      <c r="B6345" s="32"/>
    </row>
    <row r="6346" spans="1:2" x14ac:dyDescent="0.35">
      <c r="A6346" s="32"/>
      <c r="B6346" s="32"/>
    </row>
    <row r="6347" spans="1:2" x14ac:dyDescent="0.35">
      <c r="A6347" s="32"/>
      <c r="B6347" s="32"/>
    </row>
    <row r="6348" spans="1:2" x14ac:dyDescent="0.35">
      <c r="A6348" s="32"/>
      <c r="B6348" s="32"/>
    </row>
    <row r="6349" spans="1:2" x14ac:dyDescent="0.35">
      <c r="A6349" s="32"/>
      <c r="B6349" s="32"/>
    </row>
    <row r="6350" spans="1:2" x14ac:dyDescent="0.35">
      <c r="A6350" s="32"/>
      <c r="B6350" s="32"/>
    </row>
    <row r="6351" spans="1:2" x14ac:dyDescent="0.35">
      <c r="A6351" s="32"/>
      <c r="B6351" s="32"/>
    </row>
    <row r="6352" spans="1:2" x14ac:dyDescent="0.35">
      <c r="A6352" s="32"/>
      <c r="B6352" s="32"/>
    </row>
    <row r="6353" spans="1:2" x14ac:dyDescent="0.35">
      <c r="A6353" s="32"/>
      <c r="B6353" s="32"/>
    </row>
    <row r="6354" spans="1:2" x14ac:dyDescent="0.35">
      <c r="A6354" s="32"/>
      <c r="B6354" s="32"/>
    </row>
    <row r="6355" spans="1:2" x14ac:dyDescent="0.35">
      <c r="A6355" s="32"/>
      <c r="B6355" s="32"/>
    </row>
    <row r="6356" spans="1:2" x14ac:dyDescent="0.35">
      <c r="A6356" s="32"/>
      <c r="B6356" s="32"/>
    </row>
    <row r="6357" spans="1:2" x14ac:dyDescent="0.35">
      <c r="A6357" s="32"/>
      <c r="B6357" s="32"/>
    </row>
    <row r="6358" spans="1:2" x14ac:dyDescent="0.35">
      <c r="A6358" s="32"/>
      <c r="B6358" s="32"/>
    </row>
    <row r="6359" spans="1:2" x14ac:dyDescent="0.35">
      <c r="A6359" s="32"/>
      <c r="B6359" s="32"/>
    </row>
    <row r="6360" spans="1:2" x14ac:dyDescent="0.35">
      <c r="A6360" s="32"/>
      <c r="B6360" s="32"/>
    </row>
    <row r="6361" spans="1:2" x14ac:dyDescent="0.35">
      <c r="A6361" s="32"/>
      <c r="B6361" s="32"/>
    </row>
    <row r="6362" spans="1:2" x14ac:dyDescent="0.35">
      <c r="A6362" s="32"/>
      <c r="B6362" s="32"/>
    </row>
    <row r="6363" spans="1:2" x14ac:dyDescent="0.35">
      <c r="A6363" s="32"/>
      <c r="B6363" s="32"/>
    </row>
    <row r="6364" spans="1:2" x14ac:dyDescent="0.35">
      <c r="A6364" s="32"/>
      <c r="B6364" s="32"/>
    </row>
    <row r="6365" spans="1:2" x14ac:dyDescent="0.35">
      <c r="A6365" s="32"/>
      <c r="B6365" s="32"/>
    </row>
    <row r="6366" spans="1:2" x14ac:dyDescent="0.35">
      <c r="A6366" s="32"/>
      <c r="B6366" s="32"/>
    </row>
    <row r="6367" spans="1:2" x14ac:dyDescent="0.35">
      <c r="A6367" s="32"/>
      <c r="B6367" s="32"/>
    </row>
    <row r="6368" spans="1:2" x14ac:dyDescent="0.35">
      <c r="A6368" s="32"/>
      <c r="B6368" s="32"/>
    </row>
    <row r="6369" spans="1:2" x14ac:dyDescent="0.35">
      <c r="A6369" s="32"/>
      <c r="B6369" s="32"/>
    </row>
    <row r="6370" spans="1:2" x14ac:dyDescent="0.35">
      <c r="A6370" s="32"/>
      <c r="B6370" s="32"/>
    </row>
    <row r="6371" spans="1:2" x14ac:dyDescent="0.35">
      <c r="A6371" s="32"/>
      <c r="B6371" s="32"/>
    </row>
    <row r="6372" spans="1:2" x14ac:dyDescent="0.35">
      <c r="A6372" s="32"/>
      <c r="B6372" s="32"/>
    </row>
    <row r="6373" spans="1:2" x14ac:dyDescent="0.35">
      <c r="A6373" s="32"/>
      <c r="B6373" s="32"/>
    </row>
    <row r="6374" spans="1:2" x14ac:dyDescent="0.35">
      <c r="A6374" s="32"/>
      <c r="B6374" s="32"/>
    </row>
    <row r="6375" spans="1:2" x14ac:dyDescent="0.35">
      <c r="A6375" s="32"/>
      <c r="B6375" s="32"/>
    </row>
    <row r="6376" spans="1:2" x14ac:dyDescent="0.35">
      <c r="A6376" s="32"/>
      <c r="B6376" s="32"/>
    </row>
    <row r="6377" spans="1:2" x14ac:dyDescent="0.35">
      <c r="A6377" s="32"/>
      <c r="B6377" s="32"/>
    </row>
    <row r="6378" spans="1:2" x14ac:dyDescent="0.35">
      <c r="A6378" s="32"/>
      <c r="B6378" s="32"/>
    </row>
    <row r="6379" spans="1:2" x14ac:dyDescent="0.35">
      <c r="A6379" s="32"/>
      <c r="B6379" s="32"/>
    </row>
    <row r="6380" spans="1:2" x14ac:dyDescent="0.35">
      <c r="A6380" s="32"/>
      <c r="B6380" s="32"/>
    </row>
    <row r="6381" spans="1:2" x14ac:dyDescent="0.35">
      <c r="A6381" s="32"/>
      <c r="B6381" s="32"/>
    </row>
    <row r="6382" spans="1:2" x14ac:dyDescent="0.35">
      <c r="A6382" s="32"/>
      <c r="B6382" s="32"/>
    </row>
    <row r="6383" spans="1:2" x14ac:dyDescent="0.35">
      <c r="A6383" s="32"/>
      <c r="B6383" s="32"/>
    </row>
    <row r="6384" spans="1:2" x14ac:dyDescent="0.35">
      <c r="A6384" s="32"/>
      <c r="B6384" s="32"/>
    </row>
    <row r="6385" spans="1:2" x14ac:dyDescent="0.35">
      <c r="A6385" s="32"/>
      <c r="B6385" s="32"/>
    </row>
    <row r="6386" spans="1:2" x14ac:dyDescent="0.35">
      <c r="A6386" s="32"/>
      <c r="B6386" s="32"/>
    </row>
    <row r="6387" spans="1:2" x14ac:dyDescent="0.35">
      <c r="A6387" s="32"/>
      <c r="B6387" s="32"/>
    </row>
    <row r="6388" spans="1:2" x14ac:dyDescent="0.35">
      <c r="A6388" s="32"/>
      <c r="B6388" s="32"/>
    </row>
    <row r="6389" spans="1:2" x14ac:dyDescent="0.35">
      <c r="A6389" s="32"/>
      <c r="B6389" s="32"/>
    </row>
    <row r="6390" spans="1:2" x14ac:dyDescent="0.35">
      <c r="A6390" s="32"/>
      <c r="B6390" s="32"/>
    </row>
    <row r="6391" spans="1:2" x14ac:dyDescent="0.35">
      <c r="A6391" s="32"/>
      <c r="B6391" s="32"/>
    </row>
    <row r="6392" spans="1:2" x14ac:dyDescent="0.35">
      <c r="A6392" s="32"/>
      <c r="B6392" s="32"/>
    </row>
    <row r="6393" spans="1:2" x14ac:dyDescent="0.35">
      <c r="A6393" s="32"/>
      <c r="B6393" s="32"/>
    </row>
    <row r="6394" spans="1:2" x14ac:dyDescent="0.35">
      <c r="A6394" s="32"/>
      <c r="B6394" s="32"/>
    </row>
    <row r="6395" spans="1:2" x14ac:dyDescent="0.35">
      <c r="A6395" s="32"/>
      <c r="B6395" s="32"/>
    </row>
    <row r="6396" spans="1:2" x14ac:dyDescent="0.35">
      <c r="A6396" s="32"/>
      <c r="B6396" s="32"/>
    </row>
    <row r="6397" spans="1:2" x14ac:dyDescent="0.35">
      <c r="A6397" s="32"/>
      <c r="B6397" s="32"/>
    </row>
    <row r="6398" spans="1:2" x14ac:dyDescent="0.35">
      <c r="A6398" s="32"/>
      <c r="B6398" s="32"/>
    </row>
    <row r="6399" spans="1:2" x14ac:dyDescent="0.35">
      <c r="A6399" s="32"/>
      <c r="B6399" s="32"/>
    </row>
    <row r="6400" spans="1:2" x14ac:dyDescent="0.35">
      <c r="A6400" s="32"/>
      <c r="B6400" s="32"/>
    </row>
    <row r="6401" spans="1:2" x14ac:dyDescent="0.35">
      <c r="A6401" s="32"/>
      <c r="B6401" s="32"/>
    </row>
    <row r="6402" spans="1:2" x14ac:dyDescent="0.35">
      <c r="A6402" s="32"/>
      <c r="B6402" s="32"/>
    </row>
    <row r="6403" spans="1:2" x14ac:dyDescent="0.35">
      <c r="A6403" s="32"/>
      <c r="B6403" s="32"/>
    </row>
    <row r="6404" spans="1:2" x14ac:dyDescent="0.35">
      <c r="A6404" s="32"/>
      <c r="B6404" s="32"/>
    </row>
    <row r="6405" spans="1:2" x14ac:dyDescent="0.35">
      <c r="A6405" s="32"/>
      <c r="B6405" s="32"/>
    </row>
    <row r="6406" spans="1:2" x14ac:dyDescent="0.35">
      <c r="A6406" s="32"/>
      <c r="B6406" s="32"/>
    </row>
    <row r="6407" spans="1:2" x14ac:dyDescent="0.35">
      <c r="A6407" s="32"/>
      <c r="B6407" s="32"/>
    </row>
    <row r="6408" spans="1:2" x14ac:dyDescent="0.35">
      <c r="A6408" s="32"/>
      <c r="B6408" s="32"/>
    </row>
    <row r="6409" spans="1:2" x14ac:dyDescent="0.35">
      <c r="A6409" s="32"/>
      <c r="B6409" s="32"/>
    </row>
    <row r="6410" spans="1:2" x14ac:dyDescent="0.35">
      <c r="A6410" s="32"/>
      <c r="B6410" s="32"/>
    </row>
    <row r="6411" spans="1:2" x14ac:dyDescent="0.35">
      <c r="A6411" s="32"/>
      <c r="B6411" s="32"/>
    </row>
    <row r="6412" spans="1:2" x14ac:dyDescent="0.35">
      <c r="A6412" s="32"/>
      <c r="B6412" s="32"/>
    </row>
    <row r="6413" spans="1:2" x14ac:dyDescent="0.35">
      <c r="A6413" s="32"/>
      <c r="B6413" s="32"/>
    </row>
    <row r="6414" spans="1:2" x14ac:dyDescent="0.35">
      <c r="A6414" s="32"/>
      <c r="B6414" s="32"/>
    </row>
    <row r="6415" spans="1:2" x14ac:dyDescent="0.35">
      <c r="A6415" s="32"/>
      <c r="B6415" s="32"/>
    </row>
    <row r="6416" spans="1:2" x14ac:dyDescent="0.35">
      <c r="A6416" s="32"/>
      <c r="B6416" s="32"/>
    </row>
    <row r="6417" spans="1:2" x14ac:dyDescent="0.35">
      <c r="A6417" s="32"/>
      <c r="B6417" s="32"/>
    </row>
    <row r="6418" spans="1:2" x14ac:dyDescent="0.35">
      <c r="A6418" s="32"/>
      <c r="B6418" s="32"/>
    </row>
    <row r="6419" spans="1:2" x14ac:dyDescent="0.35">
      <c r="A6419" s="32"/>
      <c r="B6419" s="32"/>
    </row>
    <row r="6420" spans="1:2" x14ac:dyDescent="0.35">
      <c r="A6420" s="32"/>
      <c r="B6420" s="32"/>
    </row>
    <row r="6421" spans="1:2" x14ac:dyDescent="0.35">
      <c r="A6421" s="32"/>
      <c r="B6421" s="32"/>
    </row>
    <row r="6422" spans="1:2" x14ac:dyDescent="0.35">
      <c r="A6422" s="32"/>
      <c r="B6422" s="32"/>
    </row>
    <row r="6423" spans="1:2" x14ac:dyDescent="0.35">
      <c r="A6423" s="32"/>
      <c r="B6423" s="32"/>
    </row>
    <row r="6424" spans="1:2" x14ac:dyDescent="0.35">
      <c r="A6424" s="32"/>
      <c r="B6424" s="32"/>
    </row>
    <row r="6425" spans="1:2" x14ac:dyDescent="0.35">
      <c r="A6425" s="32"/>
      <c r="B6425" s="32"/>
    </row>
    <row r="6426" spans="1:2" x14ac:dyDescent="0.35">
      <c r="A6426" s="32"/>
      <c r="B6426" s="32"/>
    </row>
    <row r="6427" spans="1:2" x14ac:dyDescent="0.35">
      <c r="A6427" s="32"/>
      <c r="B6427" s="32"/>
    </row>
    <row r="6428" spans="1:2" x14ac:dyDescent="0.35">
      <c r="A6428" s="32"/>
      <c r="B6428" s="32"/>
    </row>
    <row r="6429" spans="1:2" x14ac:dyDescent="0.35">
      <c r="A6429" s="32"/>
      <c r="B6429" s="32"/>
    </row>
    <row r="6430" spans="1:2" x14ac:dyDescent="0.35">
      <c r="A6430" s="32"/>
      <c r="B6430" s="32"/>
    </row>
    <row r="6431" spans="1:2" x14ac:dyDescent="0.35">
      <c r="A6431" s="32"/>
      <c r="B6431" s="32"/>
    </row>
    <row r="6432" spans="1:2" x14ac:dyDescent="0.35">
      <c r="A6432" s="32"/>
      <c r="B6432" s="32"/>
    </row>
    <row r="6433" spans="1:2" x14ac:dyDescent="0.35">
      <c r="A6433" s="32"/>
      <c r="B6433" s="32"/>
    </row>
    <row r="6434" spans="1:2" x14ac:dyDescent="0.35">
      <c r="A6434" s="32"/>
      <c r="B6434" s="32"/>
    </row>
    <row r="6435" spans="1:2" x14ac:dyDescent="0.35">
      <c r="A6435" s="32"/>
      <c r="B6435" s="32"/>
    </row>
    <row r="6436" spans="1:2" x14ac:dyDescent="0.35">
      <c r="A6436" s="32"/>
      <c r="B6436" s="32"/>
    </row>
    <row r="6437" spans="1:2" x14ac:dyDescent="0.35">
      <c r="A6437" s="32"/>
      <c r="B6437" s="32"/>
    </row>
    <row r="6438" spans="1:2" x14ac:dyDescent="0.35">
      <c r="A6438" s="32"/>
      <c r="B6438" s="32"/>
    </row>
    <row r="6439" spans="1:2" x14ac:dyDescent="0.35">
      <c r="A6439" s="32"/>
      <c r="B6439" s="32"/>
    </row>
    <row r="6440" spans="1:2" x14ac:dyDescent="0.35">
      <c r="A6440" s="32"/>
      <c r="B6440" s="32"/>
    </row>
    <row r="6441" spans="1:2" x14ac:dyDescent="0.35">
      <c r="A6441" s="32"/>
      <c r="B6441" s="32"/>
    </row>
    <row r="6442" spans="1:2" x14ac:dyDescent="0.35">
      <c r="A6442" s="32"/>
      <c r="B6442" s="32"/>
    </row>
    <row r="6443" spans="1:2" x14ac:dyDescent="0.35">
      <c r="A6443" s="32"/>
      <c r="B6443" s="32"/>
    </row>
    <row r="6444" spans="1:2" x14ac:dyDescent="0.35">
      <c r="A6444" s="32"/>
      <c r="B6444" s="32"/>
    </row>
    <row r="6445" spans="1:2" x14ac:dyDescent="0.35">
      <c r="A6445" s="32"/>
      <c r="B6445" s="32"/>
    </row>
    <row r="6446" spans="1:2" x14ac:dyDescent="0.35">
      <c r="A6446" s="32"/>
      <c r="B6446" s="32"/>
    </row>
    <row r="6447" spans="1:2" x14ac:dyDescent="0.35">
      <c r="A6447" s="32"/>
      <c r="B6447" s="32"/>
    </row>
    <row r="6448" spans="1:2" x14ac:dyDescent="0.35">
      <c r="A6448" s="32"/>
      <c r="B6448" s="32"/>
    </row>
    <row r="6449" spans="1:2" x14ac:dyDescent="0.35">
      <c r="A6449" s="32"/>
      <c r="B6449" s="32"/>
    </row>
    <row r="6450" spans="1:2" x14ac:dyDescent="0.35">
      <c r="A6450" s="32"/>
      <c r="B6450" s="32"/>
    </row>
    <row r="6451" spans="1:2" x14ac:dyDescent="0.35">
      <c r="A6451" s="32"/>
      <c r="B6451" s="32"/>
    </row>
    <row r="6452" spans="1:2" x14ac:dyDescent="0.35">
      <c r="A6452" s="32"/>
      <c r="B6452" s="32"/>
    </row>
    <row r="6453" spans="1:2" x14ac:dyDescent="0.35">
      <c r="A6453" s="32"/>
      <c r="B6453" s="32"/>
    </row>
    <row r="6454" spans="1:2" x14ac:dyDescent="0.35">
      <c r="A6454" s="32"/>
      <c r="B6454" s="32"/>
    </row>
    <row r="6455" spans="1:2" x14ac:dyDescent="0.35">
      <c r="A6455" s="32"/>
      <c r="B6455" s="32"/>
    </row>
    <row r="6456" spans="1:2" x14ac:dyDescent="0.35">
      <c r="A6456" s="32"/>
      <c r="B6456" s="32"/>
    </row>
    <row r="6457" spans="1:2" x14ac:dyDescent="0.35">
      <c r="A6457" s="32"/>
      <c r="B6457" s="32"/>
    </row>
    <row r="6458" spans="1:2" x14ac:dyDescent="0.35">
      <c r="A6458" s="32"/>
      <c r="B6458" s="32"/>
    </row>
    <row r="6459" spans="1:2" x14ac:dyDescent="0.35">
      <c r="A6459" s="32"/>
      <c r="B6459" s="32"/>
    </row>
    <row r="6460" spans="1:2" x14ac:dyDescent="0.35">
      <c r="A6460" s="32"/>
      <c r="B6460" s="32"/>
    </row>
    <row r="6461" spans="1:2" x14ac:dyDescent="0.35">
      <c r="A6461" s="32"/>
      <c r="B6461" s="32"/>
    </row>
    <row r="6462" spans="1:2" x14ac:dyDescent="0.35">
      <c r="A6462" s="32"/>
      <c r="B6462" s="32"/>
    </row>
    <row r="6463" spans="1:2" x14ac:dyDescent="0.35">
      <c r="A6463" s="32"/>
      <c r="B6463" s="32"/>
    </row>
    <row r="6464" spans="1:2" x14ac:dyDescent="0.35">
      <c r="A6464" s="32"/>
      <c r="B6464" s="32"/>
    </row>
    <row r="6465" spans="1:2" x14ac:dyDescent="0.35">
      <c r="A6465" s="32"/>
      <c r="B6465" s="32"/>
    </row>
    <row r="6466" spans="1:2" x14ac:dyDescent="0.35">
      <c r="A6466" s="32"/>
      <c r="B6466" s="32"/>
    </row>
    <row r="6467" spans="1:2" x14ac:dyDescent="0.35">
      <c r="A6467" s="32"/>
      <c r="B6467" s="32"/>
    </row>
    <row r="6468" spans="1:2" x14ac:dyDescent="0.35">
      <c r="A6468" s="32"/>
      <c r="B6468" s="32"/>
    </row>
    <row r="6469" spans="1:2" x14ac:dyDescent="0.35">
      <c r="A6469" s="32"/>
      <c r="B6469" s="32"/>
    </row>
    <row r="6470" spans="1:2" x14ac:dyDescent="0.35">
      <c r="A6470" s="32"/>
      <c r="B6470" s="32"/>
    </row>
    <row r="6471" spans="1:2" x14ac:dyDescent="0.35">
      <c r="A6471" s="32"/>
      <c r="B6471" s="32"/>
    </row>
    <row r="6472" spans="1:2" x14ac:dyDescent="0.35">
      <c r="A6472" s="32"/>
      <c r="B6472" s="32"/>
    </row>
    <row r="6473" spans="1:2" x14ac:dyDescent="0.35">
      <c r="A6473" s="32"/>
      <c r="B6473" s="32"/>
    </row>
    <row r="6474" spans="1:2" x14ac:dyDescent="0.35">
      <c r="A6474" s="32"/>
      <c r="B6474" s="32"/>
    </row>
    <row r="6475" spans="1:2" x14ac:dyDescent="0.35">
      <c r="A6475" s="32"/>
      <c r="B6475" s="32"/>
    </row>
    <row r="6476" spans="1:2" x14ac:dyDescent="0.35">
      <c r="A6476" s="32"/>
      <c r="B6476" s="32"/>
    </row>
    <row r="6477" spans="1:2" x14ac:dyDescent="0.35">
      <c r="A6477" s="32"/>
      <c r="B6477" s="32"/>
    </row>
    <row r="6478" spans="1:2" x14ac:dyDescent="0.35">
      <c r="A6478" s="32"/>
      <c r="B6478" s="32"/>
    </row>
    <row r="6479" spans="1:2" x14ac:dyDescent="0.35">
      <c r="A6479" s="32"/>
      <c r="B6479" s="32"/>
    </row>
    <row r="6480" spans="1:2" x14ac:dyDescent="0.35">
      <c r="A6480" s="32"/>
      <c r="B6480" s="32"/>
    </row>
    <row r="6481" spans="1:2" x14ac:dyDescent="0.35">
      <c r="A6481" s="32"/>
      <c r="B6481" s="32"/>
    </row>
    <row r="6482" spans="1:2" x14ac:dyDescent="0.35">
      <c r="A6482" s="32"/>
      <c r="B6482" s="32"/>
    </row>
    <row r="6483" spans="1:2" x14ac:dyDescent="0.35">
      <c r="A6483" s="32"/>
      <c r="B6483" s="32"/>
    </row>
    <row r="6484" spans="1:2" x14ac:dyDescent="0.35">
      <c r="A6484" s="32"/>
      <c r="B6484" s="32"/>
    </row>
    <row r="6485" spans="1:2" x14ac:dyDescent="0.35">
      <c r="A6485" s="32"/>
      <c r="B6485" s="32"/>
    </row>
    <row r="6486" spans="1:2" x14ac:dyDescent="0.35">
      <c r="A6486" s="32"/>
      <c r="B6486" s="32"/>
    </row>
    <row r="6487" spans="1:2" x14ac:dyDescent="0.35">
      <c r="A6487" s="32"/>
      <c r="B6487" s="32"/>
    </row>
    <row r="6488" spans="1:2" x14ac:dyDescent="0.35">
      <c r="A6488" s="32"/>
      <c r="B6488" s="32"/>
    </row>
    <row r="6489" spans="1:2" x14ac:dyDescent="0.35">
      <c r="A6489" s="32"/>
      <c r="B6489" s="32"/>
    </row>
    <row r="6490" spans="1:2" x14ac:dyDescent="0.35">
      <c r="A6490" s="32"/>
      <c r="B6490" s="32"/>
    </row>
    <row r="6491" spans="1:2" x14ac:dyDescent="0.35">
      <c r="A6491" s="32"/>
      <c r="B6491" s="32"/>
    </row>
    <row r="6492" spans="1:2" x14ac:dyDescent="0.35">
      <c r="A6492" s="32"/>
      <c r="B6492" s="32"/>
    </row>
    <row r="6493" spans="1:2" x14ac:dyDescent="0.35">
      <c r="A6493" s="32"/>
      <c r="B6493" s="32"/>
    </row>
    <row r="6494" spans="1:2" x14ac:dyDescent="0.35">
      <c r="A6494" s="32"/>
      <c r="B6494" s="32"/>
    </row>
    <row r="6495" spans="1:2" x14ac:dyDescent="0.35">
      <c r="A6495" s="32"/>
      <c r="B6495" s="32"/>
    </row>
    <row r="6496" spans="1:2" x14ac:dyDescent="0.35">
      <c r="A6496" s="32"/>
      <c r="B6496" s="32"/>
    </row>
    <row r="6497" spans="1:2" x14ac:dyDescent="0.35">
      <c r="A6497" s="32"/>
      <c r="B6497" s="32"/>
    </row>
    <row r="6498" spans="1:2" x14ac:dyDescent="0.35">
      <c r="A6498" s="32"/>
      <c r="B6498" s="32"/>
    </row>
    <row r="6499" spans="1:2" x14ac:dyDescent="0.35">
      <c r="A6499" s="32"/>
      <c r="B6499" s="32"/>
    </row>
    <row r="6500" spans="1:2" x14ac:dyDescent="0.35">
      <c r="A6500" s="32"/>
      <c r="B6500" s="32"/>
    </row>
    <row r="6501" spans="1:2" x14ac:dyDescent="0.35">
      <c r="A6501" s="32"/>
      <c r="B6501" s="32"/>
    </row>
    <row r="6502" spans="1:2" x14ac:dyDescent="0.35">
      <c r="A6502" s="32"/>
      <c r="B6502" s="32"/>
    </row>
    <row r="6503" spans="1:2" x14ac:dyDescent="0.35">
      <c r="A6503" s="32"/>
      <c r="B6503" s="32"/>
    </row>
    <row r="6504" spans="1:2" x14ac:dyDescent="0.35">
      <c r="A6504" s="32"/>
      <c r="B6504" s="32"/>
    </row>
    <row r="6505" spans="1:2" x14ac:dyDescent="0.35">
      <c r="A6505" s="32"/>
      <c r="B6505" s="32"/>
    </row>
    <row r="6506" spans="1:2" x14ac:dyDescent="0.35">
      <c r="A6506" s="32"/>
      <c r="B6506" s="32"/>
    </row>
    <row r="6507" spans="1:2" x14ac:dyDescent="0.35">
      <c r="A6507" s="32"/>
      <c r="B6507" s="32"/>
    </row>
    <row r="6508" spans="1:2" x14ac:dyDescent="0.35">
      <c r="A6508" s="32"/>
      <c r="B6508" s="32"/>
    </row>
    <row r="6509" spans="1:2" x14ac:dyDescent="0.35">
      <c r="A6509" s="32"/>
      <c r="B6509" s="32"/>
    </row>
    <row r="6510" spans="1:2" x14ac:dyDescent="0.35">
      <c r="A6510" s="32"/>
      <c r="B6510" s="32"/>
    </row>
    <row r="6511" spans="1:2" x14ac:dyDescent="0.35">
      <c r="A6511" s="32"/>
      <c r="B6511" s="32"/>
    </row>
    <row r="6512" spans="1:2" x14ac:dyDescent="0.35">
      <c r="A6512" s="32"/>
      <c r="B6512" s="32"/>
    </row>
    <row r="6513" spans="1:2" x14ac:dyDescent="0.35">
      <c r="A6513" s="32"/>
      <c r="B6513" s="32"/>
    </row>
    <row r="6514" spans="1:2" x14ac:dyDescent="0.35">
      <c r="A6514" s="32"/>
      <c r="B6514" s="32"/>
    </row>
    <row r="6515" spans="1:2" x14ac:dyDescent="0.35">
      <c r="A6515" s="32"/>
      <c r="B6515" s="32"/>
    </row>
    <row r="6516" spans="1:2" x14ac:dyDescent="0.35">
      <c r="A6516" s="32"/>
      <c r="B6516" s="32"/>
    </row>
    <row r="6517" spans="1:2" x14ac:dyDescent="0.35">
      <c r="A6517" s="32"/>
      <c r="B6517" s="32"/>
    </row>
    <row r="6518" spans="1:2" x14ac:dyDescent="0.35">
      <c r="A6518" s="32"/>
      <c r="B6518" s="32"/>
    </row>
    <row r="6519" spans="1:2" x14ac:dyDescent="0.35">
      <c r="A6519" s="32"/>
      <c r="B6519" s="32"/>
    </row>
    <row r="6520" spans="1:2" x14ac:dyDescent="0.35">
      <c r="A6520" s="32"/>
      <c r="B6520" s="32"/>
    </row>
    <row r="6521" spans="1:2" x14ac:dyDescent="0.35">
      <c r="A6521" s="32"/>
      <c r="B6521" s="32"/>
    </row>
    <row r="6522" spans="1:2" x14ac:dyDescent="0.35">
      <c r="A6522" s="32"/>
      <c r="B6522" s="32"/>
    </row>
    <row r="6523" spans="1:2" x14ac:dyDescent="0.35">
      <c r="A6523" s="32"/>
      <c r="B6523" s="32"/>
    </row>
    <row r="6524" spans="1:2" x14ac:dyDescent="0.35">
      <c r="A6524" s="32"/>
      <c r="B6524" s="32"/>
    </row>
    <row r="6525" spans="1:2" x14ac:dyDescent="0.35">
      <c r="A6525" s="32"/>
      <c r="B6525" s="32"/>
    </row>
    <row r="6526" spans="1:2" x14ac:dyDescent="0.35">
      <c r="A6526" s="32"/>
      <c r="B6526" s="32"/>
    </row>
    <row r="6527" spans="1:2" x14ac:dyDescent="0.35">
      <c r="A6527" s="32"/>
      <c r="B6527" s="32"/>
    </row>
    <row r="6528" spans="1:2" x14ac:dyDescent="0.35">
      <c r="A6528" s="32"/>
      <c r="B6528" s="32"/>
    </row>
    <row r="6529" spans="1:2" x14ac:dyDescent="0.35">
      <c r="A6529" s="32"/>
      <c r="B6529" s="32"/>
    </row>
    <row r="6530" spans="1:2" x14ac:dyDescent="0.35">
      <c r="A6530" s="32"/>
      <c r="B6530" s="32"/>
    </row>
    <row r="6531" spans="1:2" x14ac:dyDescent="0.35">
      <c r="A6531" s="32"/>
      <c r="B6531" s="32"/>
    </row>
    <row r="6532" spans="1:2" x14ac:dyDescent="0.35">
      <c r="A6532" s="32"/>
      <c r="B6532" s="32"/>
    </row>
    <row r="6533" spans="1:2" x14ac:dyDescent="0.35">
      <c r="A6533" s="32"/>
      <c r="B6533" s="32"/>
    </row>
    <row r="6534" spans="1:2" x14ac:dyDescent="0.35">
      <c r="A6534" s="32"/>
      <c r="B6534" s="32"/>
    </row>
    <row r="6535" spans="1:2" x14ac:dyDescent="0.35">
      <c r="A6535" s="32"/>
      <c r="B6535" s="32"/>
    </row>
    <row r="6536" spans="1:2" x14ac:dyDescent="0.35">
      <c r="A6536" s="32"/>
      <c r="B6536" s="32"/>
    </row>
    <row r="6537" spans="1:2" x14ac:dyDescent="0.35">
      <c r="A6537" s="32"/>
      <c r="B6537" s="32"/>
    </row>
    <row r="6538" spans="1:2" x14ac:dyDescent="0.35">
      <c r="A6538" s="32"/>
      <c r="B6538" s="32"/>
    </row>
    <row r="6539" spans="1:2" x14ac:dyDescent="0.35">
      <c r="A6539" s="32"/>
      <c r="B6539" s="32"/>
    </row>
    <row r="6540" spans="1:2" x14ac:dyDescent="0.35">
      <c r="A6540" s="32"/>
      <c r="B6540" s="32"/>
    </row>
    <row r="6541" spans="1:2" x14ac:dyDescent="0.35">
      <c r="A6541" s="32"/>
      <c r="B6541" s="32"/>
    </row>
    <row r="6542" spans="1:2" x14ac:dyDescent="0.35">
      <c r="A6542" s="32"/>
      <c r="B6542" s="32"/>
    </row>
    <row r="6543" spans="1:2" x14ac:dyDescent="0.35">
      <c r="A6543" s="32"/>
      <c r="B6543" s="32"/>
    </row>
    <row r="6544" spans="1:2" x14ac:dyDescent="0.35">
      <c r="A6544" s="32"/>
      <c r="B6544" s="32"/>
    </row>
    <row r="6545" spans="1:2" x14ac:dyDescent="0.35">
      <c r="A6545" s="32"/>
      <c r="B6545" s="32"/>
    </row>
    <row r="6546" spans="1:2" x14ac:dyDescent="0.35">
      <c r="A6546" s="32"/>
      <c r="B6546" s="32"/>
    </row>
    <row r="6547" spans="1:2" x14ac:dyDescent="0.35">
      <c r="A6547" s="32"/>
      <c r="B6547" s="32"/>
    </row>
    <row r="6548" spans="1:2" x14ac:dyDescent="0.35">
      <c r="A6548" s="32"/>
      <c r="B6548" s="32"/>
    </row>
    <row r="6549" spans="1:2" x14ac:dyDescent="0.35">
      <c r="A6549" s="32"/>
      <c r="B6549" s="32"/>
    </row>
    <row r="6550" spans="1:2" x14ac:dyDescent="0.35">
      <c r="A6550" s="32"/>
      <c r="B6550" s="32"/>
    </row>
    <row r="6551" spans="1:2" x14ac:dyDescent="0.35">
      <c r="A6551" s="32"/>
      <c r="B6551" s="32"/>
    </row>
    <row r="6552" spans="1:2" x14ac:dyDescent="0.35">
      <c r="A6552" s="32"/>
      <c r="B6552" s="32"/>
    </row>
    <row r="6553" spans="1:2" x14ac:dyDescent="0.35">
      <c r="A6553" s="32"/>
      <c r="B6553" s="32"/>
    </row>
    <row r="6554" spans="1:2" x14ac:dyDescent="0.35">
      <c r="A6554" s="32"/>
      <c r="B6554" s="32"/>
    </row>
    <row r="6555" spans="1:2" x14ac:dyDescent="0.35">
      <c r="A6555" s="32"/>
      <c r="B6555" s="32"/>
    </row>
    <row r="6556" spans="1:2" x14ac:dyDescent="0.35">
      <c r="A6556" s="32"/>
      <c r="B6556" s="32"/>
    </row>
    <row r="6557" spans="1:2" x14ac:dyDescent="0.35">
      <c r="A6557" s="32"/>
      <c r="B6557" s="32"/>
    </row>
    <row r="6558" spans="1:2" x14ac:dyDescent="0.35">
      <c r="A6558" s="32"/>
      <c r="B6558" s="32"/>
    </row>
    <row r="6559" spans="1:2" x14ac:dyDescent="0.35">
      <c r="A6559" s="32"/>
      <c r="B6559" s="32"/>
    </row>
    <row r="6560" spans="1:2" x14ac:dyDescent="0.35">
      <c r="A6560" s="32"/>
      <c r="B6560" s="32"/>
    </row>
    <row r="6561" spans="1:2" x14ac:dyDescent="0.35">
      <c r="A6561" s="32"/>
      <c r="B6561" s="32"/>
    </row>
    <row r="6562" spans="1:2" x14ac:dyDescent="0.35">
      <c r="A6562" s="32"/>
      <c r="B6562" s="32"/>
    </row>
    <row r="6563" spans="1:2" x14ac:dyDescent="0.35">
      <c r="A6563" s="32"/>
      <c r="B6563" s="32"/>
    </row>
    <row r="6564" spans="1:2" x14ac:dyDescent="0.35">
      <c r="A6564" s="32"/>
      <c r="B6564" s="32"/>
    </row>
    <row r="6565" spans="1:2" x14ac:dyDescent="0.35">
      <c r="A6565" s="32"/>
      <c r="B6565" s="32"/>
    </row>
    <row r="6566" spans="1:2" x14ac:dyDescent="0.35">
      <c r="A6566" s="32"/>
      <c r="B6566" s="32"/>
    </row>
    <row r="6567" spans="1:2" x14ac:dyDescent="0.35">
      <c r="A6567" s="32"/>
      <c r="B6567" s="32"/>
    </row>
    <row r="6568" spans="1:2" x14ac:dyDescent="0.35">
      <c r="A6568" s="32"/>
      <c r="B6568" s="32"/>
    </row>
    <row r="6569" spans="1:2" x14ac:dyDescent="0.35">
      <c r="A6569" s="32"/>
      <c r="B6569" s="32"/>
    </row>
    <row r="6570" spans="1:2" x14ac:dyDescent="0.35">
      <c r="A6570" s="32"/>
      <c r="B6570" s="32"/>
    </row>
    <row r="6571" spans="1:2" x14ac:dyDescent="0.35">
      <c r="A6571" s="32"/>
      <c r="B6571" s="32"/>
    </row>
    <row r="6572" spans="1:2" x14ac:dyDescent="0.35">
      <c r="A6572" s="32"/>
      <c r="B6572" s="32"/>
    </row>
    <row r="6573" spans="1:2" x14ac:dyDescent="0.35">
      <c r="A6573" s="32"/>
      <c r="B6573" s="32"/>
    </row>
    <row r="6574" spans="1:2" x14ac:dyDescent="0.35">
      <c r="A6574" s="32"/>
      <c r="B6574" s="32"/>
    </row>
    <row r="6575" spans="1:2" x14ac:dyDescent="0.35">
      <c r="A6575" s="32"/>
      <c r="B6575" s="32"/>
    </row>
    <row r="6576" spans="1:2" x14ac:dyDescent="0.35">
      <c r="A6576" s="32"/>
      <c r="B6576" s="32"/>
    </row>
    <row r="6577" spans="1:2" x14ac:dyDescent="0.35">
      <c r="A6577" s="32"/>
      <c r="B6577" s="32"/>
    </row>
    <row r="6578" spans="1:2" x14ac:dyDescent="0.35">
      <c r="A6578" s="32"/>
      <c r="B6578" s="32"/>
    </row>
    <row r="6579" spans="1:2" x14ac:dyDescent="0.35">
      <c r="A6579" s="32"/>
      <c r="B6579" s="32"/>
    </row>
    <row r="6580" spans="1:2" x14ac:dyDescent="0.35">
      <c r="A6580" s="32"/>
      <c r="B6580" s="32"/>
    </row>
    <row r="6581" spans="1:2" x14ac:dyDescent="0.35">
      <c r="A6581" s="32"/>
      <c r="B6581" s="32"/>
    </row>
    <row r="6582" spans="1:2" x14ac:dyDescent="0.35">
      <c r="A6582" s="32"/>
      <c r="B6582" s="32"/>
    </row>
    <row r="6583" spans="1:2" x14ac:dyDescent="0.35">
      <c r="A6583" s="32"/>
      <c r="B6583" s="32"/>
    </row>
    <row r="6584" spans="1:2" x14ac:dyDescent="0.35">
      <c r="A6584" s="32"/>
      <c r="B6584" s="32"/>
    </row>
    <row r="6585" spans="1:2" x14ac:dyDescent="0.35">
      <c r="A6585" s="32"/>
      <c r="B6585" s="32"/>
    </row>
    <row r="6586" spans="1:2" x14ac:dyDescent="0.35">
      <c r="A6586" s="32"/>
      <c r="B6586" s="32"/>
    </row>
    <row r="6587" spans="1:2" x14ac:dyDescent="0.35">
      <c r="A6587" s="32"/>
      <c r="B6587" s="32"/>
    </row>
    <row r="6588" spans="1:2" x14ac:dyDescent="0.35">
      <c r="A6588" s="32"/>
      <c r="B6588" s="32"/>
    </row>
    <row r="6589" spans="1:2" x14ac:dyDescent="0.35">
      <c r="A6589" s="32"/>
      <c r="B6589" s="32"/>
    </row>
    <row r="6590" spans="1:2" x14ac:dyDescent="0.35">
      <c r="A6590" s="32"/>
      <c r="B6590" s="32"/>
    </row>
    <row r="6591" spans="1:2" x14ac:dyDescent="0.35">
      <c r="A6591" s="32"/>
      <c r="B6591" s="32"/>
    </row>
    <row r="6592" spans="1:2" x14ac:dyDescent="0.35">
      <c r="A6592" s="32"/>
      <c r="B6592" s="32"/>
    </row>
    <row r="6593" spans="1:2" x14ac:dyDescent="0.35">
      <c r="A6593" s="32"/>
      <c r="B6593" s="32"/>
    </row>
    <row r="6594" spans="1:2" x14ac:dyDescent="0.35">
      <c r="A6594" s="32"/>
      <c r="B6594" s="32"/>
    </row>
    <row r="6595" spans="1:2" x14ac:dyDescent="0.35">
      <c r="A6595" s="32"/>
      <c r="B6595" s="32"/>
    </row>
    <row r="6596" spans="1:2" x14ac:dyDescent="0.35">
      <c r="A6596" s="32"/>
      <c r="B6596" s="32"/>
    </row>
    <row r="6597" spans="1:2" x14ac:dyDescent="0.35">
      <c r="A6597" s="32"/>
      <c r="B6597" s="32"/>
    </row>
    <row r="6598" spans="1:2" x14ac:dyDescent="0.35">
      <c r="A6598" s="32"/>
      <c r="B6598" s="32"/>
    </row>
    <row r="6599" spans="1:2" x14ac:dyDescent="0.35">
      <c r="A6599" s="32"/>
      <c r="B6599" s="32"/>
    </row>
    <row r="6600" spans="1:2" x14ac:dyDescent="0.35">
      <c r="A6600" s="32"/>
      <c r="B6600" s="32"/>
    </row>
    <row r="6601" spans="1:2" x14ac:dyDescent="0.35">
      <c r="A6601" s="32"/>
      <c r="B6601" s="32"/>
    </row>
    <row r="6602" spans="1:2" x14ac:dyDescent="0.35">
      <c r="A6602" s="32"/>
      <c r="B6602" s="32"/>
    </row>
    <row r="6603" spans="1:2" x14ac:dyDescent="0.35">
      <c r="A6603" s="32"/>
      <c r="B6603" s="32"/>
    </row>
    <row r="6604" spans="1:2" x14ac:dyDescent="0.35">
      <c r="A6604" s="32"/>
      <c r="B6604" s="32"/>
    </row>
    <row r="6605" spans="1:2" x14ac:dyDescent="0.35">
      <c r="A6605" s="32"/>
      <c r="B6605" s="32"/>
    </row>
    <row r="6606" spans="1:2" x14ac:dyDescent="0.35">
      <c r="A6606" s="32"/>
      <c r="B6606" s="32"/>
    </row>
    <row r="6607" spans="1:2" x14ac:dyDescent="0.35">
      <c r="A6607" s="32"/>
      <c r="B6607" s="32"/>
    </row>
    <row r="6608" spans="1:2" x14ac:dyDescent="0.35">
      <c r="A6608" s="32"/>
      <c r="B6608" s="32"/>
    </row>
    <row r="6609" spans="1:2" x14ac:dyDescent="0.35">
      <c r="A6609" s="32"/>
      <c r="B6609" s="32"/>
    </row>
    <row r="6610" spans="1:2" x14ac:dyDescent="0.35">
      <c r="A6610" s="32"/>
      <c r="B6610" s="32"/>
    </row>
    <row r="6611" spans="1:2" x14ac:dyDescent="0.35">
      <c r="A6611" s="32"/>
      <c r="B6611" s="32"/>
    </row>
    <row r="6612" spans="1:2" x14ac:dyDescent="0.35">
      <c r="A6612" s="32"/>
      <c r="B6612" s="32"/>
    </row>
    <row r="6613" spans="1:2" x14ac:dyDescent="0.35">
      <c r="A6613" s="32"/>
      <c r="B6613" s="32"/>
    </row>
    <row r="6614" spans="1:2" x14ac:dyDescent="0.35">
      <c r="A6614" s="32"/>
      <c r="B6614" s="32"/>
    </row>
    <row r="6615" spans="1:2" x14ac:dyDescent="0.35">
      <c r="A6615" s="32"/>
      <c r="B6615" s="32"/>
    </row>
    <row r="6616" spans="1:2" x14ac:dyDescent="0.35">
      <c r="A6616" s="32"/>
      <c r="B6616" s="32"/>
    </row>
    <row r="6617" spans="1:2" x14ac:dyDescent="0.35">
      <c r="A6617" s="32"/>
      <c r="B6617" s="32"/>
    </row>
    <row r="6618" spans="1:2" x14ac:dyDescent="0.35">
      <c r="A6618" s="32"/>
      <c r="B6618" s="32"/>
    </row>
    <row r="6619" spans="1:2" x14ac:dyDescent="0.35">
      <c r="A6619" s="32"/>
      <c r="B6619" s="32"/>
    </row>
    <row r="6620" spans="1:2" x14ac:dyDescent="0.35">
      <c r="A6620" s="32"/>
      <c r="B6620" s="32"/>
    </row>
    <row r="6621" spans="1:2" x14ac:dyDescent="0.35">
      <c r="A6621" s="32"/>
      <c r="B6621" s="32"/>
    </row>
    <row r="6622" spans="1:2" x14ac:dyDescent="0.35">
      <c r="A6622" s="32"/>
      <c r="B6622" s="32"/>
    </row>
    <row r="6623" spans="1:2" x14ac:dyDescent="0.35">
      <c r="A6623" s="32"/>
      <c r="B6623" s="32"/>
    </row>
    <row r="6624" spans="1:2" x14ac:dyDescent="0.35">
      <c r="A6624" s="32"/>
      <c r="B6624" s="32"/>
    </row>
    <row r="6625" spans="1:2" x14ac:dyDescent="0.35">
      <c r="A6625" s="32"/>
      <c r="B6625" s="32"/>
    </row>
    <row r="6626" spans="1:2" x14ac:dyDescent="0.35">
      <c r="A6626" s="32"/>
      <c r="B6626" s="32"/>
    </row>
    <row r="6627" spans="1:2" x14ac:dyDescent="0.35">
      <c r="A6627" s="32"/>
      <c r="B6627" s="32"/>
    </row>
    <row r="6628" spans="1:2" x14ac:dyDescent="0.35">
      <c r="A6628" s="32"/>
      <c r="B6628" s="32"/>
    </row>
    <row r="6629" spans="1:2" x14ac:dyDescent="0.35">
      <c r="A6629" s="32"/>
      <c r="B6629" s="32"/>
    </row>
    <row r="6630" spans="1:2" x14ac:dyDescent="0.35">
      <c r="A6630" s="32"/>
      <c r="B6630" s="32"/>
    </row>
    <row r="6631" spans="1:2" x14ac:dyDescent="0.35">
      <c r="A6631" s="32"/>
      <c r="B6631" s="32"/>
    </row>
    <row r="6632" spans="1:2" x14ac:dyDescent="0.35">
      <c r="A6632" s="32"/>
      <c r="B6632" s="32"/>
    </row>
    <row r="6633" spans="1:2" x14ac:dyDescent="0.35">
      <c r="A6633" s="32"/>
      <c r="B6633" s="32"/>
    </row>
    <row r="6634" spans="1:2" x14ac:dyDescent="0.35">
      <c r="A6634" s="32"/>
      <c r="B6634" s="32"/>
    </row>
    <row r="6635" spans="1:2" x14ac:dyDescent="0.35">
      <c r="A6635" s="32"/>
      <c r="B6635" s="32"/>
    </row>
    <row r="6636" spans="1:2" x14ac:dyDescent="0.35">
      <c r="A6636" s="32"/>
      <c r="B6636" s="32"/>
    </row>
    <row r="6637" spans="1:2" x14ac:dyDescent="0.35">
      <c r="A6637" s="32"/>
      <c r="B6637" s="32"/>
    </row>
    <row r="6638" spans="1:2" x14ac:dyDescent="0.35">
      <c r="A6638" s="32"/>
      <c r="B6638" s="32"/>
    </row>
    <row r="6639" spans="1:2" x14ac:dyDescent="0.35">
      <c r="A6639" s="32"/>
      <c r="B6639" s="32"/>
    </row>
    <row r="6640" spans="1:2" x14ac:dyDescent="0.35">
      <c r="A6640" s="32"/>
      <c r="B6640" s="32"/>
    </row>
    <row r="6641" spans="1:2" x14ac:dyDescent="0.35">
      <c r="A6641" s="32"/>
      <c r="B6641" s="32"/>
    </row>
    <row r="6642" spans="1:2" x14ac:dyDescent="0.35">
      <c r="A6642" s="32"/>
      <c r="B6642" s="32"/>
    </row>
    <row r="6643" spans="1:2" x14ac:dyDescent="0.35">
      <c r="A6643" s="32"/>
      <c r="B6643" s="32"/>
    </row>
    <row r="6644" spans="1:2" x14ac:dyDescent="0.35">
      <c r="A6644" s="32"/>
      <c r="B6644" s="32"/>
    </row>
    <row r="6645" spans="1:2" x14ac:dyDescent="0.35">
      <c r="A6645" s="32"/>
      <c r="B6645" s="32"/>
    </row>
    <row r="6646" spans="1:2" x14ac:dyDescent="0.35">
      <c r="A6646" s="32"/>
      <c r="B6646" s="32"/>
    </row>
    <row r="6647" spans="1:2" x14ac:dyDescent="0.35">
      <c r="A6647" s="32"/>
      <c r="B6647" s="32"/>
    </row>
    <row r="6648" spans="1:2" x14ac:dyDescent="0.35">
      <c r="A6648" s="32"/>
      <c r="B6648" s="32"/>
    </row>
    <row r="6649" spans="1:2" x14ac:dyDescent="0.35">
      <c r="A6649" s="32"/>
      <c r="B6649" s="32"/>
    </row>
    <row r="6650" spans="1:2" x14ac:dyDescent="0.35">
      <c r="A6650" s="32"/>
      <c r="B6650" s="32"/>
    </row>
    <row r="6651" spans="1:2" x14ac:dyDescent="0.35">
      <c r="A6651" s="32"/>
      <c r="B6651" s="32"/>
    </row>
    <row r="6652" spans="1:2" x14ac:dyDescent="0.35">
      <c r="A6652" s="32"/>
      <c r="B6652" s="32"/>
    </row>
    <row r="6653" spans="1:2" x14ac:dyDescent="0.35">
      <c r="A6653" s="32"/>
      <c r="B6653" s="32"/>
    </row>
    <row r="6654" spans="1:2" x14ac:dyDescent="0.35">
      <c r="A6654" s="32"/>
      <c r="B6654" s="32"/>
    </row>
    <row r="6655" spans="1:2" x14ac:dyDescent="0.35">
      <c r="A6655" s="32"/>
      <c r="B6655" s="32"/>
    </row>
    <row r="6656" spans="1:2" x14ac:dyDescent="0.35">
      <c r="A6656" s="32"/>
      <c r="B6656" s="32"/>
    </row>
    <row r="6657" spans="1:2" x14ac:dyDescent="0.35">
      <c r="A6657" s="32"/>
      <c r="B6657" s="32"/>
    </row>
    <row r="6658" spans="1:2" x14ac:dyDescent="0.35">
      <c r="A6658" s="32"/>
      <c r="B6658" s="32"/>
    </row>
    <row r="6659" spans="1:2" x14ac:dyDescent="0.35">
      <c r="A6659" s="32"/>
      <c r="B6659" s="32"/>
    </row>
    <row r="6660" spans="1:2" x14ac:dyDescent="0.35">
      <c r="A6660" s="32"/>
      <c r="B6660" s="32"/>
    </row>
    <row r="6661" spans="1:2" x14ac:dyDescent="0.35">
      <c r="A6661" s="32"/>
      <c r="B6661" s="32"/>
    </row>
    <row r="6662" spans="1:2" x14ac:dyDescent="0.35">
      <c r="A6662" s="32"/>
      <c r="B6662" s="32"/>
    </row>
    <row r="6663" spans="1:2" x14ac:dyDescent="0.35">
      <c r="A6663" s="32"/>
      <c r="B6663" s="32"/>
    </row>
    <row r="6664" spans="1:2" x14ac:dyDescent="0.35">
      <c r="A6664" s="32"/>
      <c r="B6664" s="32"/>
    </row>
    <row r="6665" spans="1:2" x14ac:dyDescent="0.35">
      <c r="A6665" s="32"/>
      <c r="B6665" s="32"/>
    </row>
    <row r="6666" spans="1:2" x14ac:dyDescent="0.35">
      <c r="A6666" s="32"/>
      <c r="B6666" s="32"/>
    </row>
    <row r="6667" spans="1:2" x14ac:dyDescent="0.35">
      <c r="A6667" s="32"/>
      <c r="B6667" s="32"/>
    </row>
    <row r="6668" spans="1:2" x14ac:dyDescent="0.35">
      <c r="A6668" s="32"/>
      <c r="B6668" s="32"/>
    </row>
    <row r="6669" spans="1:2" x14ac:dyDescent="0.35">
      <c r="A6669" s="32"/>
      <c r="B6669" s="32"/>
    </row>
    <row r="6670" spans="1:2" x14ac:dyDescent="0.35">
      <c r="A6670" s="32"/>
      <c r="B6670" s="32"/>
    </row>
    <row r="6671" spans="1:2" x14ac:dyDescent="0.35">
      <c r="A6671" s="32"/>
      <c r="B6671" s="32"/>
    </row>
    <row r="6672" spans="1:2" x14ac:dyDescent="0.35">
      <c r="A6672" s="32"/>
      <c r="B6672" s="32"/>
    </row>
    <row r="6673" spans="1:2" x14ac:dyDescent="0.35">
      <c r="A6673" s="32"/>
      <c r="B6673" s="32"/>
    </row>
    <row r="6674" spans="1:2" x14ac:dyDescent="0.35">
      <c r="A6674" s="32"/>
      <c r="B6674" s="32"/>
    </row>
    <row r="6675" spans="1:2" x14ac:dyDescent="0.35">
      <c r="A6675" s="32"/>
      <c r="B6675" s="32"/>
    </row>
    <row r="6676" spans="1:2" x14ac:dyDescent="0.35">
      <c r="A6676" s="32"/>
      <c r="B6676" s="32"/>
    </row>
    <row r="6677" spans="1:2" x14ac:dyDescent="0.35">
      <c r="A6677" s="32"/>
      <c r="B6677" s="32"/>
    </row>
    <row r="6678" spans="1:2" x14ac:dyDescent="0.35">
      <c r="A6678" s="32"/>
      <c r="B6678" s="32"/>
    </row>
    <row r="6679" spans="1:2" x14ac:dyDescent="0.35">
      <c r="A6679" s="32"/>
      <c r="B6679" s="32"/>
    </row>
    <row r="6680" spans="1:2" x14ac:dyDescent="0.35">
      <c r="A6680" s="32"/>
      <c r="B6680" s="32"/>
    </row>
    <row r="6681" spans="1:2" x14ac:dyDescent="0.35">
      <c r="A6681" s="32"/>
      <c r="B6681" s="32"/>
    </row>
    <row r="6682" spans="1:2" x14ac:dyDescent="0.35">
      <c r="A6682" s="32"/>
      <c r="B6682" s="32"/>
    </row>
    <row r="6683" spans="1:2" x14ac:dyDescent="0.35">
      <c r="A6683" s="32"/>
      <c r="B6683" s="32"/>
    </row>
    <row r="6684" spans="1:2" x14ac:dyDescent="0.35">
      <c r="A6684" s="32"/>
      <c r="B6684" s="32"/>
    </row>
    <row r="6685" spans="1:2" x14ac:dyDescent="0.35">
      <c r="A6685" s="32"/>
      <c r="B6685" s="32"/>
    </row>
    <row r="6686" spans="1:2" x14ac:dyDescent="0.35">
      <c r="A6686" s="32"/>
      <c r="B6686" s="32"/>
    </row>
    <row r="6687" spans="1:2" x14ac:dyDescent="0.35">
      <c r="A6687" s="32"/>
      <c r="B6687" s="32"/>
    </row>
    <row r="6688" spans="1:2" x14ac:dyDescent="0.35">
      <c r="A6688" s="32"/>
      <c r="B6688" s="32"/>
    </row>
    <row r="6689" spans="1:2" x14ac:dyDescent="0.35">
      <c r="A6689" s="32"/>
      <c r="B6689" s="32"/>
    </row>
    <row r="6690" spans="1:2" x14ac:dyDescent="0.35">
      <c r="A6690" s="32"/>
      <c r="B6690" s="32"/>
    </row>
    <row r="6691" spans="1:2" x14ac:dyDescent="0.35">
      <c r="A6691" s="32"/>
      <c r="B6691" s="32"/>
    </row>
    <row r="6692" spans="1:2" x14ac:dyDescent="0.35">
      <c r="A6692" s="32"/>
      <c r="B6692" s="32"/>
    </row>
    <row r="6693" spans="1:2" x14ac:dyDescent="0.35">
      <c r="A6693" s="32"/>
      <c r="B6693" s="32"/>
    </row>
    <row r="6694" spans="1:2" x14ac:dyDescent="0.35">
      <c r="A6694" s="32"/>
      <c r="B6694" s="32"/>
    </row>
    <row r="6695" spans="1:2" x14ac:dyDescent="0.35">
      <c r="A6695" s="32"/>
      <c r="B6695" s="32"/>
    </row>
    <row r="6696" spans="1:2" x14ac:dyDescent="0.35">
      <c r="A6696" s="32"/>
      <c r="B6696" s="32"/>
    </row>
    <row r="6697" spans="1:2" x14ac:dyDescent="0.35">
      <c r="A6697" s="32"/>
      <c r="B6697" s="32"/>
    </row>
    <row r="6698" spans="1:2" x14ac:dyDescent="0.35">
      <c r="A6698" s="32"/>
      <c r="B6698" s="32"/>
    </row>
    <row r="6699" spans="1:2" x14ac:dyDescent="0.35">
      <c r="A6699" s="32"/>
      <c r="B6699" s="32"/>
    </row>
    <row r="6700" spans="1:2" x14ac:dyDescent="0.35">
      <c r="A6700" s="32"/>
      <c r="B6700" s="32"/>
    </row>
    <row r="6701" spans="1:2" x14ac:dyDescent="0.35">
      <c r="A6701" s="32"/>
      <c r="B6701" s="32"/>
    </row>
    <row r="6702" spans="1:2" x14ac:dyDescent="0.35">
      <c r="A6702" s="32"/>
      <c r="B6702" s="32"/>
    </row>
    <row r="6703" spans="1:2" x14ac:dyDescent="0.35">
      <c r="A6703" s="32"/>
      <c r="B6703" s="32"/>
    </row>
    <row r="6704" spans="1:2" x14ac:dyDescent="0.35">
      <c r="A6704" s="32"/>
      <c r="B6704" s="32"/>
    </row>
    <row r="6705" spans="1:2" x14ac:dyDescent="0.35">
      <c r="A6705" s="32"/>
      <c r="B6705" s="32"/>
    </row>
    <row r="6706" spans="1:2" x14ac:dyDescent="0.35">
      <c r="A6706" s="32"/>
      <c r="B6706" s="32"/>
    </row>
    <row r="6707" spans="1:2" x14ac:dyDescent="0.35">
      <c r="A6707" s="32"/>
      <c r="B6707" s="32"/>
    </row>
    <row r="6708" spans="1:2" x14ac:dyDescent="0.35">
      <c r="A6708" s="32"/>
      <c r="B6708" s="32"/>
    </row>
    <row r="6709" spans="1:2" x14ac:dyDescent="0.35">
      <c r="A6709" s="32"/>
      <c r="B6709" s="32"/>
    </row>
    <row r="6710" spans="1:2" x14ac:dyDescent="0.35">
      <c r="A6710" s="32"/>
      <c r="B6710" s="32"/>
    </row>
    <row r="6711" spans="1:2" x14ac:dyDescent="0.35">
      <c r="A6711" s="32"/>
      <c r="B6711" s="32"/>
    </row>
    <row r="6712" spans="1:2" x14ac:dyDescent="0.35">
      <c r="A6712" s="32"/>
      <c r="B6712" s="32"/>
    </row>
    <row r="6713" spans="1:2" x14ac:dyDescent="0.35">
      <c r="A6713" s="32"/>
      <c r="B6713" s="32"/>
    </row>
    <row r="6714" spans="1:2" x14ac:dyDescent="0.35">
      <c r="A6714" s="32"/>
      <c r="B6714" s="32"/>
    </row>
    <row r="6715" spans="1:2" x14ac:dyDescent="0.35">
      <c r="A6715" s="32"/>
      <c r="B6715" s="32"/>
    </row>
    <row r="6716" spans="1:2" x14ac:dyDescent="0.35">
      <c r="A6716" s="32"/>
      <c r="B6716" s="32"/>
    </row>
    <row r="6717" spans="1:2" x14ac:dyDescent="0.35">
      <c r="A6717" s="32"/>
      <c r="B6717" s="32"/>
    </row>
    <row r="6718" spans="1:2" x14ac:dyDescent="0.35">
      <c r="A6718" s="32"/>
      <c r="B6718" s="32"/>
    </row>
    <row r="6719" spans="1:2" x14ac:dyDescent="0.35">
      <c r="A6719" s="32"/>
      <c r="B6719" s="32"/>
    </row>
    <row r="6720" spans="1:2" x14ac:dyDescent="0.35">
      <c r="A6720" s="32"/>
      <c r="B6720" s="32"/>
    </row>
    <row r="6721" spans="1:2" x14ac:dyDescent="0.35">
      <c r="A6721" s="32"/>
      <c r="B6721" s="32"/>
    </row>
    <row r="6722" spans="1:2" x14ac:dyDescent="0.35">
      <c r="A6722" s="32"/>
      <c r="B6722" s="32"/>
    </row>
    <row r="6723" spans="1:2" x14ac:dyDescent="0.35">
      <c r="A6723" s="32"/>
      <c r="B6723" s="32"/>
    </row>
    <row r="6724" spans="1:2" x14ac:dyDescent="0.35">
      <c r="A6724" s="32"/>
      <c r="B6724" s="32"/>
    </row>
    <row r="6725" spans="1:2" x14ac:dyDescent="0.35">
      <c r="A6725" s="32"/>
      <c r="B6725" s="32"/>
    </row>
    <row r="6726" spans="1:2" x14ac:dyDescent="0.35">
      <c r="A6726" s="32"/>
      <c r="B6726" s="32"/>
    </row>
    <row r="6727" spans="1:2" x14ac:dyDescent="0.35">
      <c r="A6727" s="32"/>
      <c r="B6727" s="32"/>
    </row>
    <row r="6728" spans="1:2" x14ac:dyDescent="0.35">
      <c r="A6728" s="32"/>
      <c r="B6728" s="32"/>
    </row>
    <row r="6729" spans="1:2" x14ac:dyDescent="0.35">
      <c r="A6729" s="32"/>
      <c r="B6729" s="32"/>
    </row>
    <row r="6730" spans="1:2" x14ac:dyDescent="0.35">
      <c r="A6730" s="32"/>
      <c r="B6730" s="32"/>
    </row>
    <row r="6731" spans="1:2" x14ac:dyDescent="0.35">
      <c r="A6731" s="32"/>
      <c r="B6731" s="32"/>
    </row>
    <row r="6732" spans="1:2" x14ac:dyDescent="0.35">
      <c r="A6732" s="32"/>
      <c r="B6732" s="32"/>
    </row>
    <row r="6733" spans="1:2" x14ac:dyDescent="0.35">
      <c r="A6733" s="32"/>
      <c r="B6733" s="32"/>
    </row>
    <row r="6734" spans="1:2" x14ac:dyDescent="0.35">
      <c r="A6734" s="32"/>
      <c r="B6734" s="32"/>
    </row>
    <row r="6735" spans="1:2" x14ac:dyDescent="0.35">
      <c r="A6735" s="32"/>
      <c r="B6735" s="32"/>
    </row>
    <row r="6736" spans="1:2" x14ac:dyDescent="0.35">
      <c r="A6736" s="32"/>
      <c r="B6736" s="32"/>
    </row>
    <row r="6737" spans="1:2" x14ac:dyDescent="0.35">
      <c r="A6737" s="32"/>
      <c r="B6737" s="32"/>
    </row>
    <row r="6738" spans="1:2" x14ac:dyDescent="0.35">
      <c r="A6738" s="32"/>
      <c r="B6738" s="32"/>
    </row>
    <row r="6739" spans="1:2" x14ac:dyDescent="0.35">
      <c r="A6739" s="32"/>
      <c r="B6739" s="32"/>
    </row>
    <row r="6740" spans="1:2" x14ac:dyDescent="0.35">
      <c r="A6740" s="32"/>
      <c r="B6740" s="32"/>
    </row>
    <row r="6741" spans="1:2" x14ac:dyDescent="0.35">
      <c r="A6741" s="32"/>
      <c r="B6741" s="32"/>
    </row>
    <row r="6742" spans="1:2" x14ac:dyDescent="0.35">
      <c r="A6742" s="32"/>
      <c r="B6742" s="32"/>
    </row>
    <row r="6743" spans="1:2" x14ac:dyDescent="0.35">
      <c r="A6743" s="32"/>
      <c r="B6743" s="32"/>
    </row>
    <row r="6744" spans="1:2" x14ac:dyDescent="0.35">
      <c r="A6744" s="32"/>
      <c r="B6744" s="32"/>
    </row>
    <row r="6745" spans="1:2" x14ac:dyDescent="0.35">
      <c r="A6745" s="32"/>
      <c r="B6745" s="32"/>
    </row>
    <row r="6746" spans="1:2" x14ac:dyDescent="0.35">
      <c r="A6746" s="32"/>
      <c r="B6746" s="32"/>
    </row>
    <row r="6747" spans="1:2" x14ac:dyDescent="0.35">
      <c r="A6747" s="32"/>
      <c r="B6747" s="32"/>
    </row>
    <row r="6748" spans="1:2" x14ac:dyDescent="0.35">
      <c r="A6748" s="32"/>
      <c r="B6748" s="32"/>
    </row>
    <row r="6749" spans="1:2" x14ac:dyDescent="0.35">
      <c r="A6749" s="32"/>
      <c r="B6749" s="32"/>
    </row>
    <row r="6750" spans="1:2" x14ac:dyDescent="0.35">
      <c r="A6750" s="32"/>
      <c r="B6750" s="32"/>
    </row>
    <row r="6751" spans="1:2" x14ac:dyDescent="0.35">
      <c r="A6751" s="32"/>
      <c r="B6751" s="32"/>
    </row>
    <row r="6752" spans="1:2" x14ac:dyDescent="0.35">
      <c r="A6752" s="32"/>
      <c r="B6752" s="32"/>
    </row>
    <row r="6753" spans="1:2" x14ac:dyDescent="0.35">
      <c r="A6753" s="32"/>
      <c r="B6753" s="32"/>
    </row>
    <row r="6754" spans="1:2" x14ac:dyDescent="0.35">
      <c r="A6754" s="32"/>
      <c r="B6754" s="32"/>
    </row>
    <row r="6755" spans="1:2" x14ac:dyDescent="0.35">
      <c r="A6755" s="32"/>
      <c r="B6755" s="32"/>
    </row>
    <row r="6756" spans="1:2" x14ac:dyDescent="0.35">
      <c r="A6756" s="32"/>
      <c r="B6756" s="32"/>
    </row>
    <row r="6757" spans="1:2" x14ac:dyDescent="0.35">
      <c r="A6757" s="32"/>
      <c r="B6757" s="32"/>
    </row>
    <row r="6758" spans="1:2" x14ac:dyDescent="0.35">
      <c r="A6758" s="32"/>
      <c r="B6758" s="32"/>
    </row>
    <row r="6759" spans="1:2" x14ac:dyDescent="0.35">
      <c r="A6759" s="32"/>
      <c r="B6759" s="32"/>
    </row>
    <row r="6760" spans="1:2" x14ac:dyDescent="0.35">
      <c r="A6760" s="32"/>
      <c r="B6760" s="32"/>
    </row>
    <row r="6761" spans="1:2" x14ac:dyDescent="0.35">
      <c r="A6761" s="32"/>
      <c r="B6761" s="32"/>
    </row>
    <row r="6762" spans="1:2" x14ac:dyDescent="0.35">
      <c r="A6762" s="32"/>
      <c r="B6762" s="32"/>
    </row>
    <row r="6763" spans="1:2" x14ac:dyDescent="0.35">
      <c r="A6763" s="32"/>
      <c r="B6763" s="32"/>
    </row>
    <row r="6764" spans="1:2" x14ac:dyDescent="0.35">
      <c r="A6764" s="32"/>
      <c r="B6764" s="32"/>
    </row>
    <row r="6765" spans="1:2" x14ac:dyDescent="0.35">
      <c r="A6765" s="32"/>
      <c r="B6765" s="32"/>
    </row>
    <row r="6766" spans="1:2" x14ac:dyDescent="0.35">
      <c r="A6766" s="32"/>
      <c r="B6766" s="32"/>
    </row>
    <row r="6767" spans="1:2" x14ac:dyDescent="0.35">
      <c r="A6767" s="32"/>
      <c r="B6767" s="32"/>
    </row>
    <row r="6768" spans="1:2" x14ac:dyDescent="0.35">
      <c r="A6768" s="32"/>
      <c r="B6768" s="32"/>
    </row>
    <row r="6769" spans="1:2" x14ac:dyDescent="0.35">
      <c r="A6769" s="32"/>
      <c r="B6769" s="32"/>
    </row>
    <row r="6770" spans="1:2" x14ac:dyDescent="0.35">
      <c r="A6770" s="32"/>
      <c r="B6770" s="32"/>
    </row>
    <row r="6771" spans="1:2" x14ac:dyDescent="0.35">
      <c r="A6771" s="32"/>
      <c r="B6771" s="32"/>
    </row>
    <row r="6772" spans="1:2" x14ac:dyDescent="0.35">
      <c r="A6772" s="32"/>
      <c r="B6772" s="32"/>
    </row>
    <row r="6773" spans="1:2" x14ac:dyDescent="0.35">
      <c r="A6773" s="32"/>
      <c r="B6773" s="32"/>
    </row>
    <row r="6774" spans="1:2" x14ac:dyDescent="0.35">
      <c r="A6774" s="32"/>
      <c r="B6774" s="32"/>
    </row>
    <row r="6775" spans="1:2" x14ac:dyDescent="0.35">
      <c r="A6775" s="32"/>
      <c r="B6775" s="32"/>
    </row>
    <row r="6776" spans="1:2" x14ac:dyDescent="0.35">
      <c r="A6776" s="32"/>
      <c r="B6776" s="32"/>
    </row>
    <row r="6777" spans="1:2" x14ac:dyDescent="0.35">
      <c r="A6777" s="32"/>
      <c r="B6777" s="32"/>
    </row>
    <row r="6778" spans="1:2" x14ac:dyDescent="0.35">
      <c r="A6778" s="32"/>
      <c r="B6778" s="32"/>
    </row>
    <row r="6779" spans="1:2" x14ac:dyDescent="0.35">
      <c r="A6779" s="32"/>
      <c r="B6779" s="32"/>
    </row>
    <row r="6780" spans="1:2" x14ac:dyDescent="0.35">
      <c r="A6780" s="32"/>
      <c r="B6780" s="32"/>
    </row>
    <row r="6781" spans="1:2" x14ac:dyDescent="0.35">
      <c r="A6781" s="32"/>
      <c r="B6781" s="32"/>
    </row>
    <row r="6782" spans="1:2" x14ac:dyDescent="0.35">
      <c r="A6782" s="32"/>
      <c r="B6782" s="32"/>
    </row>
    <row r="6783" spans="1:2" x14ac:dyDescent="0.35">
      <c r="A6783" s="32"/>
      <c r="B6783" s="32"/>
    </row>
    <row r="6784" spans="1:2" x14ac:dyDescent="0.35">
      <c r="A6784" s="32"/>
      <c r="B6784" s="32"/>
    </row>
    <row r="6785" spans="1:2" x14ac:dyDescent="0.35">
      <c r="A6785" s="32"/>
      <c r="B6785" s="32"/>
    </row>
    <row r="6786" spans="1:2" x14ac:dyDescent="0.35">
      <c r="A6786" s="32"/>
      <c r="B6786" s="32"/>
    </row>
    <row r="6787" spans="1:2" x14ac:dyDescent="0.35">
      <c r="A6787" s="32"/>
      <c r="B6787" s="32"/>
    </row>
    <row r="6788" spans="1:2" x14ac:dyDescent="0.35">
      <c r="A6788" s="32"/>
      <c r="B6788" s="32"/>
    </row>
    <row r="6789" spans="1:2" x14ac:dyDescent="0.35">
      <c r="A6789" s="32"/>
      <c r="B6789" s="32"/>
    </row>
    <row r="6790" spans="1:2" x14ac:dyDescent="0.35">
      <c r="A6790" s="32"/>
      <c r="B6790" s="32"/>
    </row>
    <row r="6791" spans="1:2" x14ac:dyDescent="0.35">
      <c r="A6791" s="32"/>
      <c r="B6791" s="32"/>
    </row>
    <row r="6792" spans="1:2" x14ac:dyDescent="0.35">
      <c r="A6792" s="32"/>
      <c r="B6792" s="32"/>
    </row>
    <row r="6793" spans="1:2" x14ac:dyDescent="0.35">
      <c r="A6793" s="32"/>
      <c r="B6793" s="32"/>
    </row>
    <row r="6794" spans="1:2" x14ac:dyDescent="0.35">
      <c r="A6794" s="32"/>
      <c r="B6794" s="32"/>
    </row>
    <row r="6795" spans="1:2" x14ac:dyDescent="0.35">
      <c r="A6795" s="32"/>
      <c r="B6795" s="32"/>
    </row>
    <row r="6796" spans="1:2" x14ac:dyDescent="0.35">
      <c r="A6796" s="32"/>
      <c r="B6796" s="32"/>
    </row>
    <row r="6797" spans="1:2" x14ac:dyDescent="0.35">
      <c r="A6797" s="32"/>
      <c r="B6797" s="32"/>
    </row>
    <row r="6798" spans="1:2" x14ac:dyDescent="0.35">
      <c r="A6798" s="32"/>
      <c r="B6798" s="32"/>
    </row>
    <row r="6799" spans="1:2" x14ac:dyDescent="0.35">
      <c r="A6799" s="32"/>
      <c r="B6799" s="32"/>
    </row>
    <row r="6800" spans="1:2" x14ac:dyDescent="0.35">
      <c r="A6800" s="32"/>
      <c r="B6800" s="32"/>
    </row>
    <row r="6801" spans="1:2" x14ac:dyDescent="0.35">
      <c r="A6801" s="32"/>
      <c r="B6801" s="32"/>
    </row>
    <row r="6802" spans="1:2" x14ac:dyDescent="0.35">
      <c r="A6802" s="32"/>
      <c r="B6802" s="32"/>
    </row>
    <row r="6803" spans="1:2" x14ac:dyDescent="0.35">
      <c r="A6803" s="32"/>
      <c r="B6803" s="32"/>
    </row>
    <row r="6804" spans="1:2" x14ac:dyDescent="0.35">
      <c r="A6804" s="32"/>
      <c r="B6804" s="32"/>
    </row>
    <row r="6805" spans="1:2" x14ac:dyDescent="0.35">
      <c r="A6805" s="32"/>
      <c r="B6805" s="32"/>
    </row>
    <row r="6806" spans="1:2" x14ac:dyDescent="0.35">
      <c r="A6806" s="32"/>
      <c r="B6806" s="32"/>
    </row>
    <row r="6807" spans="1:2" x14ac:dyDescent="0.35">
      <c r="A6807" s="32"/>
      <c r="B6807" s="32"/>
    </row>
    <row r="6808" spans="1:2" x14ac:dyDescent="0.35">
      <c r="A6808" s="32"/>
      <c r="B6808" s="32"/>
    </row>
    <row r="6809" spans="1:2" x14ac:dyDescent="0.35">
      <c r="A6809" s="32"/>
      <c r="B6809" s="32"/>
    </row>
    <row r="6810" spans="1:2" x14ac:dyDescent="0.35">
      <c r="A6810" s="32"/>
      <c r="B6810" s="32"/>
    </row>
    <row r="6811" spans="1:2" x14ac:dyDescent="0.35">
      <c r="A6811" s="32"/>
      <c r="B6811" s="32"/>
    </row>
    <row r="6812" spans="1:2" x14ac:dyDescent="0.35">
      <c r="A6812" s="32"/>
      <c r="B6812" s="32"/>
    </row>
    <row r="6813" spans="1:2" x14ac:dyDescent="0.35">
      <c r="A6813" s="32"/>
      <c r="B6813" s="32"/>
    </row>
    <row r="6814" spans="1:2" x14ac:dyDescent="0.35">
      <c r="A6814" s="32"/>
      <c r="B6814" s="32"/>
    </row>
    <row r="6815" spans="1:2" x14ac:dyDescent="0.35">
      <c r="A6815" s="32"/>
      <c r="B6815" s="32"/>
    </row>
    <row r="6816" spans="1:2" x14ac:dyDescent="0.35">
      <c r="A6816" s="32"/>
      <c r="B6816" s="32"/>
    </row>
    <row r="6817" spans="1:2" x14ac:dyDescent="0.35">
      <c r="A6817" s="32"/>
      <c r="B6817" s="32"/>
    </row>
    <row r="6818" spans="1:2" x14ac:dyDescent="0.35">
      <c r="A6818" s="32"/>
      <c r="B6818" s="32"/>
    </row>
    <row r="6819" spans="1:2" x14ac:dyDescent="0.35">
      <c r="A6819" s="32"/>
      <c r="B6819" s="32"/>
    </row>
    <row r="6820" spans="1:2" x14ac:dyDescent="0.35">
      <c r="A6820" s="32"/>
      <c r="B6820" s="32"/>
    </row>
    <row r="6821" spans="1:2" x14ac:dyDescent="0.35">
      <c r="A6821" s="32"/>
      <c r="B6821" s="32"/>
    </row>
    <row r="6822" spans="1:2" x14ac:dyDescent="0.35">
      <c r="A6822" s="32"/>
      <c r="B6822" s="32"/>
    </row>
    <row r="6823" spans="1:2" x14ac:dyDescent="0.35">
      <c r="A6823" s="32"/>
      <c r="B6823" s="32"/>
    </row>
    <row r="6824" spans="1:2" x14ac:dyDescent="0.35">
      <c r="A6824" s="32"/>
      <c r="B6824" s="32"/>
    </row>
    <row r="6825" spans="1:2" x14ac:dyDescent="0.35">
      <c r="A6825" s="32"/>
      <c r="B6825" s="32"/>
    </row>
    <row r="6826" spans="1:2" x14ac:dyDescent="0.35">
      <c r="A6826" s="32"/>
      <c r="B6826" s="32"/>
    </row>
    <row r="6827" spans="1:2" x14ac:dyDescent="0.35">
      <c r="A6827" s="32"/>
      <c r="B6827" s="32"/>
    </row>
    <row r="6828" spans="1:2" x14ac:dyDescent="0.35">
      <c r="A6828" s="32"/>
      <c r="B6828" s="32"/>
    </row>
    <row r="6829" spans="1:2" x14ac:dyDescent="0.35">
      <c r="A6829" s="32"/>
      <c r="B6829" s="32"/>
    </row>
    <row r="6830" spans="1:2" x14ac:dyDescent="0.35">
      <c r="A6830" s="32"/>
      <c r="B6830" s="32"/>
    </row>
    <row r="6831" spans="1:2" x14ac:dyDescent="0.35">
      <c r="A6831" s="32"/>
      <c r="B6831" s="32"/>
    </row>
    <row r="6832" spans="1:2" x14ac:dyDescent="0.35">
      <c r="A6832" s="32"/>
      <c r="B6832" s="32"/>
    </row>
    <row r="6833" spans="1:2" x14ac:dyDescent="0.35">
      <c r="A6833" s="32"/>
      <c r="B6833" s="32"/>
    </row>
    <row r="6834" spans="1:2" x14ac:dyDescent="0.35">
      <c r="A6834" s="32"/>
      <c r="B6834" s="32"/>
    </row>
    <row r="6835" spans="1:2" x14ac:dyDescent="0.35">
      <c r="A6835" s="32"/>
      <c r="B6835" s="32"/>
    </row>
    <row r="6836" spans="1:2" x14ac:dyDescent="0.35">
      <c r="A6836" s="32"/>
      <c r="B6836" s="32"/>
    </row>
    <row r="6837" spans="1:2" x14ac:dyDescent="0.35">
      <c r="A6837" s="32"/>
      <c r="B6837" s="32"/>
    </row>
    <row r="6838" spans="1:2" x14ac:dyDescent="0.35">
      <c r="A6838" s="32"/>
      <c r="B6838" s="32"/>
    </row>
    <row r="6839" spans="1:2" x14ac:dyDescent="0.35">
      <c r="A6839" s="32"/>
      <c r="B6839" s="32"/>
    </row>
    <row r="6840" spans="1:2" x14ac:dyDescent="0.35">
      <c r="A6840" s="32"/>
      <c r="B6840" s="32"/>
    </row>
    <row r="6841" spans="1:2" x14ac:dyDescent="0.35">
      <c r="A6841" s="32"/>
      <c r="B6841" s="32"/>
    </row>
    <row r="6842" spans="1:2" x14ac:dyDescent="0.35">
      <c r="A6842" s="32"/>
      <c r="B6842" s="32"/>
    </row>
    <row r="6843" spans="1:2" x14ac:dyDescent="0.35">
      <c r="A6843" s="32"/>
      <c r="B6843" s="32"/>
    </row>
    <row r="6844" spans="1:2" x14ac:dyDescent="0.35">
      <c r="A6844" s="32"/>
      <c r="B6844" s="32"/>
    </row>
    <row r="6845" spans="1:2" x14ac:dyDescent="0.35">
      <c r="A6845" s="32"/>
      <c r="B6845" s="32"/>
    </row>
    <row r="6846" spans="1:2" x14ac:dyDescent="0.35">
      <c r="A6846" s="32"/>
      <c r="B6846" s="32"/>
    </row>
    <row r="6847" spans="1:2" x14ac:dyDescent="0.35">
      <c r="A6847" s="32"/>
      <c r="B6847" s="32"/>
    </row>
    <row r="6848" spans="1:2" x14ac:dyDescent="0.35">
      <c r="A6848" s="32"/>
      <c r="B6848" s="32"/>
    </row>
    <row r="6849" spans="1:2" x14ac:dyDescent="0.35">
      <c r="A6849" s="32"/>
      <c r="B6849" s="32"/>
    </row>
    <row r="6850" spans="1:2" x14ac:dyDescent="0.35">
      <c r="A6850" s="32"/>
      <c r="B6850" s="32"/>
    </row>
    <row r="6851" spans="1:2" x14ac:dyDescent="0.35">
      <c r="A6851" s="32"/>
      <c r="B6851" s="32"/>
    </row>
    <row r="6852" spans="1:2" x14ac:dyDescent="0.35">
      <c r="A6852" s="32"/>
      <c r="B6852" s="32"/>
    </row>
    <row r="6853" spans="1:2" x14ac:dyDescent="0.35">
      <c r="A6853" s="32"/>
      <c r="B6853" s="32"/>
    </row>
    <row r="6854" spans="1:2" x14ac:dyDescent="0.35">
      <c r="A6854" s="32"/>
      <c r="B6854" s="32"/>
    </row>
    <row r="6855" spans="1:2" x14ac:dyDescent="0.35">
      <c r="A6855" s="32"/>
      <c r="B6855" s="32"/>
    </row>
    <row r="6856" spans="1:2" x14ac:dyDescent="0.35">
      <c r="A6856" s="32"/>
      <c r="B6856" s="32"/>
    </row>
    <row r="6857" spans="1:2" x14ac:dyDescent="0.35">
      <c r="A6857" s="32"/>
      <c r="B6857" s="32"/>
    </row>
    <row r="6858" spans="1:2" x14ac:dyDescent="0.35">
      <c r="A6858" s="32"/>
      <c r="B6858" s="32"/>
    </row>
    <row r="6859" spans="1:2" x14ac:dyDescent="0.35">
      <c r="A6859" s="32"/>
      <c r="B6859" s="32"/>
    </row>
    <row r="6860" spans="1:2" x14ac:dyDescent="0.35">
      <c r="A6860" s="32"/>
      <c r="B6860" s="32"/>
    </row>
    <row r="6861" spans="1:2" x14ac:dyDescent="0.35">
      <c r="A6861" s="32"/>
      <c r="B6861" s="32"/>
    </row>
    <row r="6862" spans="1:2" x14ac:dyDescent="0.35">
      <c r="A6862" s="32"/>
      <c r="B6862" s="32"/>
    </row>
    <row r="6863" spans="1:2" x14ac:dyDescent="0.35">
      <c r="A6863" s="32"/>
      <c r="B6863" s="32"/>
    </row>
    <row r="6864" spans="1:2" x14ac:dyDescent="0.35">
      <c r="A6864" s="32"/>
      <c r="B6864" s="32"/>
    </row>
    <row r="6865" spans="1:2" x14ac:dyDescent="0.35">
      <c r="A6865" s="32"/>
      <c r="B6865" s="32"/>
    </row>
    <row r="6866" spans="1:2" x14ac:dyDescent="0.35">
      <c r="A6866" s="32"/>
      <c r="B6866" s="32"/>
    </row>
    <row r="6867" spans="1:2" x14ac:dyDescent="0.35">
      <c r="A6867" s="32"/>
      <c r="B6867" s="32"/>
    </row>
    <row r="6868" spans="1:2" x14ac:dyDescent="0.35">
      <c r="A6868" s="32"/>
      <c r="B6868" s="32"/>
    </row>
    <row r="6869" spans="1:2" x14ac:dyDescent="0.35">
      <c r="A6869" s="32"/>
      <c r="B6869" s="32"/>
    </row>
    <row r="6870" spans="1:2" x14ac:dyDescent="0.35">
      <c r="A6870" s="32"/>
      <c r="B6870" s="32"/>
    </row>
    <row r="6871" spans="1:2" x14ac:dyDescent="0.35">
      <c r="A6871" s="32"/>
      <c r="B6871" s="32"/>
    </row>
    <row r="6872" spans="1:2" x14ac:dyDescent="0.35">
      <c r="A6872" s="32"/>
      <c r="B6872" s="32"/>
    </row>
    <row r="6873" spans="1:2" x14ac:dyDescent="0.35">
      <c r="A6873" s="32"/>
      <c r="B6873" s="32"/>
    </row>
    <row r="6874" spans="1:2" x14ac:dyDescent="0.35">
      <c r="A6874" s="32"/>
      <c r="B6874" s="32"/>
    </row>
    <row r="6875" spans="1:2" x14ac:dyDescent="0.35">
      <c r="A6875" s="32"/>
      <c r="B6875" s="32"/>
    </row>
    <row r="6876" spans="1:2" x14ac:dyDescent="0.35">
      <c r="A6876" s="32"/>
      <c r="B6876" s="32"/>
    </row>
    <row r="6877" spans="1:2" x14ac:dyDescent="0.35">
      <c r="A6877" s="32"/>
      <c r="B6877" s="32"/>
    </row>
    <row r="6878" spans="1:2" x14ac:dyDescent="0.35">
      <c r="A6878" s="32"/>
      <c r="B6878" s="32"/>
    </row>
    <row r="6879" spans="1:2" x14ac:dyDescent="0.35">
      <c r="A6879" s="32"/>
      <c r="B6879" s="32"/>
    </row>
    <row r="6880" spans="1:2" x14ac:dyDescent="0.35">
      <c r="A6880" s="32"/>
      <c r="B6880" s="32"/>
    </row>
    <row r="6881" spans="1:2" x14ac:dyDescent="0.35">
      <c r="A6881" s="32"/>
      <c r="B6881" s="32"/>
    </row>
    <row r="6882" spans="1:2" x14ac:dyDescent="0.35">
      <c r="A6882" s="32"/>
      <c r="B6882" s="32"/>
    </row>
    <row r="6883" spans="1:2" x14ac:dyDescent="0.35">
      <c r="A6883" s="32"/>
      <c r="B6883" s="32"/>
    </row>
    <row r="6884" spans="1:2" x14ac:dyDescent="0.35">
      <c r="A6884" s="32"/>
      <c r="B6884" s="32"/>
    </row>
    <row r="6885" spans="1:2" x14ac:dyDescent="0.35">
      <c r="A6885" s="32"/>
      <c r="B6885" s="32"/>
    </row>
    <row r="6886" spans="1:2" x14ac:dyDescent="0.35">
      <c r="A6886" s="32"/>
      <c r="B6886" s="32"/>
    </row>
    <row r="6887" spans="1:2" x14ac:dyDescent="0.35">
      <c r="A6887" s="32"/>
      <c r="B6887" s="32"/>
    </row>
    <row r="6888" spans="1:2" x14ac:dyDescent="0.35">
      <c r="A6888" s="32"/>
      <c r="B6888" s="32"/>
    </row>
    <row r="6889" spans="1:2" x14ac:dyDescent="0.35">
      <c r="A6889" s="32"/>
      <c r="B6889" s="32"/>
    </row>
    <row r="6890" spans="1:2" x14ac:dyDescent="0.35">
      <c r="A6890" s="32"/>
      <c r="B6890" s="32"/>
    </row>
    <row r="6891" spans="1:2" x14ac:dyDescent="0.35">
      <c r="A6891" s="32"/>
      <c r="B6891" s="32"/>
    </row>
    <row r="6892" spans="1:2" x14ac:dyDescent="0.35">
      <c r="A6892" s="32"/>
      <c r="B6892" s="32"/>
    </row>
    <row r="6893" spans="1:2" x14ac:dyDescent="0.35">
      <c r="A6893" s="32"/>
      <c r="B6893" s="32"/>
    </row>
    <row r="6894" spans="1:2" x14ac:dyDescent="0.35">
      <c r="A6894" s="32"/>
      <c r="B6894" s="32"/>
    </row>
    <row r="6895" spans="1:2" x14ac:dyDescent="0.35">
      <c r="A6895" s="32"/>
      <c r="B6895" s="32"/>
    </row>
    <row r="6896" spans="1:2" x14ac:dyDescent="0.35">
      <c r="A6896" s="32"/>
      <c r="B6896" s="32"/>
    </row>
    <row r="6897" spans="1:2" x14ac:dyDescent="0.35">
      <c r="A6897" s="32"/>
      <c r="B6897" s="32"/>
    </row>
    <row r="6898" spans="1:2" x14ac:dyDescent="0.35">
      <c r="A6898" s="32"/>
      <c r="B6898" s="32"/>
    </row>
    <row r="6899" spans="1:2" x14ac:dyDescent="0.35">
      <c r="A6899" s="32"/>
      <c r="B6899" s="32"/>
    </row>
    <row r="6900" spans="1:2" x14ac:dyDescent="0.35">
      <c r="A6900" s="32"/>
      <c r="B6900" s="32"/>
    </row>
    <row r="6901" spans="1:2" x14ac:dyDescent="0.35">
      <c r="A6901" s="32"/>
      <c r="B6901" s="32"/>
    </row>
    <row r="6902" spans="1:2" x14ac:dyDescent="0.35">
      <c r="A6902" s="32"/>
      <c r="B6902" s="32"/>
    </row>
    <row r="6903" spans="1:2" x14ac:dyDescent="0.35">
      <c r="A6903" s="32"/>
      <c r="B6903" s="32"/>
    </row>
    <row r="6904" spans="1:2" x14ac:dyDescent="0.35">
      <c r="A6904" s="32"/>
      <c r="B6904" s="32"/>
    </row>
    <row r="6905" spans="1:2" x14ac:dyDescent="0.35">
      <c r="A6905" s="32"/>
      <c r="B6905" s="32"/>
    </row>
    <row r="6906" spans="1:2" x14ac:dyDescent="0.35">
      <c r="A6906" s="32"/>
      <c r="B6906" s="32"/>
    </row>
    <row r="6907" spans="1:2" x14ac:dyDescent="0.35">
      <c r="A6907" s="32"/>
      <c r="B6907" s="32"/>
    </row>
    <row r="6908" spans="1:2" x14ac:dyDescent="0.35">
      <c r="A6908" s="32"/>
      <c r="B6908" s="32"/>
    </row>
    <row r="6909" spans="1:2" x14ac:dyDescent="0.35">
      <c r="A6909" s="32"/>
      <c r="B6909" s="32"/>
    </row>
    <row r="6910" spans="1:2" x14ac:dyDescent="0.35">
      <c r="A6910" s="32"/>
      <c r="B6910" s="32"/>
    </row>
    <row r="6911" spans="1:2" x14ac:dyDescent="0.35">
      <c r="A6911" s="32"/>
      <c r="B6911" s="32"/>
    </row>
    <row r="6912" spans="1:2" x14ac:dyDescent="0.35">
      <c r="A6912" s="32"/>
      <c r="B6912" s="32"/>
    </row>
    <row r="6913" spans="1:2" x14ac:dyDescent="0.35">
      <c r="A6913" s="32"/>
      <c r="B6913" s="32"/>
    </row>
    <row r="6914" spans="1:2" x14ac:dyDescent="0.35">
      <c r="A6914" s="32"/>
      <c r="B6914" s="32"/>
    </row>
    <row r="6915" spans="1:2" x14ac:dyDescent="0.35">
      <c r="A6915" s="32"/>
      <c r="B6915" s="32"/>
    </row>
    <row r="6916" spans="1:2" x14ac:dyDescent="0.35">
      <c r="A6916" s="32"/>
      <c r="B6916" s="32"/>
    </row>
    <row r="6917" spans="1:2" x14ac:dyDescent="0.35">
      <c r="A6917" s="32"/>
      <c r="B6917" s="32"/>
    </row>
    <row r="6918" spans="1:2" x14ac:dyDescent="0.35">
      <c r="A6918" s="32"/>
      <c r="B6918" s="32"/>
    </row>
    <row r="6919" spans="1:2" x14ac:dyDescent="0.35">
      <c r="A6919" s="32"/>
      <c r="B6919" s="32"/>
    </row>
    <row r="6920" spans="1:2" x14ac:dyDescent="0.35">
      <c r="A6920" s="32"/>
      <c r="B6920" s="32"/>
    </row>
    <row r="6921" spans="1:2" x14ac:dyDescent="0.35">
      <c r="A6921" s="32"/>
      <c r="B6921" s="32"/>
    </row>
    <row r="6922" spans="1:2" x14ac:dyDescent="0.35">
      <c r="A6922" s="32"/>
      <c r="B6922" s="32"/>
    </row>
    <row r="6923" spans="1:2" x14ac:dyDescent="0.35">
      <c r="A6923" s="32"/>
      <c r="B6923" s="32"/>
    </row>
    <row r="6924" spans="1:2" x14ac:dyDescent="0.35">
      <c r="A6924" s="32"/>
      <c r="B6924" s="32"/>
    </row>
    <row r="6925" spans="1:2" x14ac:dyDescent="0.35">
      <c r="A6925" s="32"/>
      <c r="B6925" s="32"/>
    </row>
    <row r="6926" spans="1:2" x14ac:dyDescent="0.35">
      <c r="A6926" s="32"/>
      <c r="B6926" s="32"/>
    </row>
    <row r="6927" spans="1:2" x14ac:dyDescent="0.35">
      <c r="A6927" s="32"/>
      <c r="B6927" s="32"/>
    </row>
    <row r="6928" spans="1:2" x14ac:dyDescent="0.35">
      <c r="A6928" s="32"/>
      <c r="B6928" s="32"/>
    </row>
    <row r="6929" spans="1:2" x14ac:dyDescent="0.35">
      <c r="A6929" s="32"/>
      <c r="B6929" s="32"/>
    </row>
    <row r="6930" spans="1:2" x14ac:dyDescent="0.35">
      <c r="A6930" s="32"/>
      <c r="B6930" s="32"/>
    </row>
    <row r="6931" spans="1:2" x14ac:dyDescent="0.35">
      <c r="A6931" s="32"/>
      <c r="B6931" s="32"/>
    </row>
    <row r="6932" spans="1:2" x14ac:dyDescent="0.35">
      <c r="A6932" s="32"/>
      <c r="B6932" s="32"/>
    </row>
    <row r="6933" spans="1:2" x14ac:dyDescent="0.35">
      <c r="A6933" s="32"/>
      <c r="B6933" s="32"/>
    </row>
    <row r="6934" spans="1:2" x14ac:dyDescent="0.35">
      <c r="A6934" s="32"/>
      <c r="B6934" s="32"/>
    </row>
    <row r="6935" spans="1:2" x14ac:dyDescent="0.35">
      <c r="A6935" s="32"/>
      <c r="B6935" s="32"/>
    </row>
    <row r="6936" spans="1:2" x14ac:dyDescent="0.35">
      <c r="A6936" s="32"/>
      <c r="B6936" s="32"/>
    </row>
    <row r="6937" spans="1:2" x14ac:dyDescent="0.35">
      <c r="A6937" s="32"/>
      <c r="B6937" s="32"/>
    </row>
    <row r="6938" spans="1:2" x14ac:dyDescent="0.35">
      <c r="A6938" s="32"/>
      <c r="B6938" s="32"/>
    </row>
    <row r="6939" spans="1:2" x14ac:dyDescent="0.35">
      <c r="A6939" s="32"/>
      <c r="B6939" s="32"/>
    </row>
    <row r="6940" spans="1:2" x14ac:dyDescent="0.35">
      <c r="A6940" s="32"/>
      <c r="B6940" s="32"/>
    </row>
    <row r="6941" spans="1:2" x14ac:dyDescent="0.35">
      <c r="A6941" s="32"/>
      <c r="B6941" s="32"/>
    </row>
    <row r="6942" spans="1:2" x14ac:dyDescent="0.35">
      <c r="A6942" s="32"/>
      <c r="B6942" s="32"/>
    </row>
    <row r="6943" spans="1:2" x14ac:dyDescent="0.35">
      <c r="A6943" s="32"/>
      <c r="B6943" s="32"/>
    </row>
    <row r="6944" spans="1:2" x14ac:dyDescent="0.35">
      <c r="A6944" s="32"/>
      <c r="B6944" s="32"/>
    </row>
    <row r="6945" spans="1:2" x14ac:dyDescent="0.35">
      <c r="A6945" s="32"/>
      <c r="B6945" s="32"/>
    </row>
    <row r="6946" spans="1:2" x14ac:dyDescent="0.35">
      <c r="A6946" s="32"/>
      <c r="B6946" s="32"/>
    </row>
    <row r="6947" spans="1:2" x14ac:dyDescent="0.35">
      <c r="A6947" s="32"/>
      <c r="B6947" s="32"/>
    </row>
    <row r="6948" spans="1:2" x14ac:dyDescent="0.35">
      <c r="A6948" s="32"/>
      <c r="B6948" s="32"/>
    </row>
    <row r="6949" spans="1:2" x14ac:dyDescent="0.35">
      <c r="A6949" s="32"/>
      <c r="B6949" s="32"/>
    </row>
    <row r="6950" spans="1:2" x14ac:dyDescent="0.35">
      <c r="A6950" s="32"/>
      <c r="B6950" s="32"/>
    </row>
    <row r="6951" spans="1:2" x14ac:dyDescent="0.35">
      <c r="A6951" s="32"/>
      <c r="B6951" s="32"/>
    </row>
    <row r="6952" spans="1:2" x14ac:dyDescent="0.35">
      <c r="A6952" s="32"/>
      <c r="B6952" s="32"/>
    </row>
    <row r="6953" spans="1:2" x14ac:dyDescent="0.35">
      <c r="A6953" s="32"/>
      <c r="B6953" s="32"/>
    </row>
    <row r="6954" spans="1:2" x14ac:dyDescent="0.35">
      <c r="A6954" s="32"/>
      <c r="B6954" s="32"/>
    </row>
    <row r="6955" spans="1:2" x14ac:dyDescent="0.35">
      <c r="A6955" s="32"/>
      <c r="B6955" s="32"/>
    </row>
    <row r="6956" spans="1:2" x14ac:dyDescent="0.35">
      <c r="A6956" s="32"/>
      <c r="B6956" s="32"/>
    </row>
    <row r="6957" spans="1:2" x14ac:dyDescent="0.35">
      <c r="A6957" s="32"/>
      <c r="B6957" s="32"/>
    </row>
    <row r="6958" spans="1:2" x14ac:dyDescent="0.35">
      <c r="A6958" s="32"/>
      <c r="B6958" s="32"/>
    </row>
    <row r="6959" spans="1:2" x14ac:dyDescent="0.35">
      <c r="A6959" s="32"/>
      <c r="B6959" s="32"/>
    </row>
    <row r="6960" spans="1:2" x14ac:dyDescent="0.35">
      <c r="A6960" s="32"/>
      <c r="B6960" s="32"/>
    </row>
    <row r="6961" spans="1:2" x14ac:dyDescent="0.35">
      <c r="A6961" s="32"/>
      <c r="B6961" s="32"/>
    </row>
    <row r="6962" spans="1:2" x14ac:dyDescent="0.35">
      <c r="A6962" s="32"/>
      <c r="B6962" s="32"/>
    </row>
    <row r="6963" spans="1:2" x14ac:dyDescent="0.35">
      <c r="A6963" s="32"/>
      <c r="B6963" s="32"/>
    </row>
    <row r="6964" spans="1:2" x14ac:dyDescent="0.35">
      <c r="A6964" s="32"/>
      <c r="B6964" s="32"/>
    </row>
    <row r="6965" spans="1:2" x14ac:dyDescent="0.35">
      <c r="A6965" s="32"/>
      <c r="B6965" s="32"/>
    </row>
    <row r="6966" spans="1:2" x14ac:dyDescent="0.35">
      <c r="A6966" s="32"/>
      <c r="B6966" s="32"/>
    </row>
    <row r="6967" spans="1:2" x14ac:dyDescent="0.35">
      <c r="A6967" s="32"/>
      <c r="B6967" s="32"/>
    </row>
    <row r="6968" spans="1:2" x14ac:dyDescent="0.35">
      <c r="A6968" s="32"/>
      <c r="B6968" s="32"/>
    </row>
    <row r="6969" spans="1:2" x14ac:dyDescent="0.35">
      <c r="A6969" s="32"/>
      <c r="B6969" s="32"/>
    </row>
    <row r="6970" spans="1:2" x14ac:dyDescent="0.35">
      <c r="A6970" s="32"/>
      <c r="B6970" s="32"/>
    </row>
    <row r="6971" spans="1:2" x14ac:dyDescent="0.35">
      <c r="A6971" s="32"/>
      <c r="B6971" s="32"/>
    </row>
    <row r="6972" spans="1:2" x14ac:dyDescent="0.35">
      <c r="A6972" s="32"/>
      <c r="B6972" s="32"/>
    </row>
    <row r="6973" spans="1:2" x14ac:dyDescent="0.35">
      <c r="A6973" s="32"/>
      <c r="B6973" s="32"/>
    </row>
    <row r="6974" spans="1:2" x14ac:dyDescent="0.35">
      <c r="A6974" s="32"/>
      <c r="B6974" s="32"/>
    </row>
    <row r="6975" spans="1:2" x14ac:dyDescent="0.35">
      <c r="A6975" s="32"/>
      <c r="B6975" s="32"/>
    </row>
    <row r="6976" spans="1:2" x14ac:dyDescent="0.35">
      <c r="A6976" s="32"/>
      <c r="B6976" s="32"/>
    </row>
    <row r="6977" spans="1:2" x14ac:dyDescent="0.35">
      <c r="A6977" s="32"/>
      <c r="B6977" s="32"/>
    </row>
    <row r="6978" spans="1:2" x14ac:dyDescent="0.35">
      <c r="A6978" s="32"/>
      <c r="B6978" s="32"/>
    </row>
    <row r="6979" spans="1:2" x14ac:dyDescent="0.35">
      <c r="A6979" s="32"/>
      <c r="B6979" s="32"/>
    </row>
    <row r="6980" spans="1:2" x14ac:dyDescent="0.35">
      <c r="A6980" s="32"/>
      <c r="B6980" s="32"/>
    </row>
    <row r="6981" spans="1:2" x14ac:dyDescent="0.35">
      <c r="A6981" s="32"/>
      <c r="B6981" s="32"/>
    </row>
    <row r="6982" spans="1:2" x14ac:dyDescent="0.35">
      <c r="A6982" s="32"/>
      <c r="B6982" s="32"/>
    </row>
    <row r="6983" spans="1:2" x14ac:dyDescent="0.35">
      <c r="A6983" s="32"/>
      <c r="B6983" s="32"/>
    </row>
    <row r="6984" spans="1:2" x14ac:dyDescent="0.35">
      <c r="A6984" s="32"/>
      <c r="B6984" s="32"/>
    </row>
    <row r="6985" spans="1:2" x14ac:dyDescent="0.35">
      <c r="A6985" s="32"/>
      <c r="B6985" s="32"/>
    </row>
    <row r="6986" spans="1:2" x14ac:dyDescent="0.35">
      <c r="A6986" s="32"/>
      <c r="B6986" s="32"/>
    </row>
    <row r="6987" spans="1:2" x14ac:dyDescent="0.35">
      <c r="A6987" s="32"/>
      <c r="B6987" s="32"/>
    </row>
    <row r="6988" spans="1:2" x14ac:dyDescent="0.35">
      <c r="A6988" s="32"/>
      <c r="B6988" s="32"/>
    </row>
    <row r="6989" spans="1:2" x14ac:dyDescent="0.35">
      <c r="A6989" s="32"/>
      <c r="B6989" s="32"/>
    </row>
    <row r="6990" spans="1:2" x14ac:dyDescent="0.35">
      <c r="A6990" s="32"/>
      <c r="B6990" s="32"/>
    </row>
    <row r="6991" spans="1:2" x14ac:dyDescent="0.35">
      <c r="A6991" s="32"/>
      <c r="B6991" s="32"/>
    </row>
    <row r="6992" spans="1:2" x14ac:dyDescent="0.35">
      <c r="A6992" s="32"/>
      <c r="B6992" s="32"/>
    </row>
    <row r="6993" spans="1:2" x14ac:dyDescent="0.35">
      <c r="A6993" s="32"/>
      <c r="B6993" s="32"/>
    </row>
    <row r="6994" spans="1:2" x14ac:dyDescent="0.35">
      <c r="A6994" s="32"/>
      <c r="B6994" s="32"/>
    </row>
    <row r="6995" spans="1:2" x14ac:dyDescent="0.35">
      <c r="A6995" s="32"/>
      <c r="B6995" s="32"/>
    </row>
    <row r="6996" spans="1:2" x14ac:dyDescent="0.35">
      <c r="A6996" s="32"/>
      <c r="B6996" s="32"/>
    </row>
    <row r="6997" spans="1:2" x14ac:dyDescent="0.35">
      <c r="A6997" s="32"/>
      <c r="B6997" s="32"/>
    </row>
    <row r="6998" spans="1:2" x14ac:dyDescent="0.35">
      <c r="A6998" s="32"/>
      <c r="B6998" s="32"/>
    </row>
    <row r="6999" spans="1:2" x14ac:dyDescent="0.35">
      <c r="A6999" s="32"/>
      <c r="B6999" s="32"/>
    </row>
    <row r="7000" spans="1:2" x14ac:dyDescent="0.35">
      <c r="A7000" s="32"/>
      <c r="B7000" s="32"/>
    </row>
    <row r="7001" spans="1:2" x14ac:dyDescent="0.35">
      <c r="A7001" s="32"/>
      <c r="B7001" s="32"/>
    </row>
    <row r="7002" spans="1:2" x14ac:dyDescent="0.35">
      <c r="A7002" s="32"/>
      <c r="B7002" s="32"/>
    </row>
    <row r="7003" spans="1:2" x14ac:dyDescent="0.35">
      <c r="A7003" s="32"/>
      <c r="B7003" s="32"/>
    </row>
    <row r="7004" spans="1:2" x14ac:dyDescent="0.35">
      <c r="A7004" s="32"/>
      <c r="B7004" s="32"/>
    </row>
    <row r="7005" spans="1:2" x14ac:dyDescent="0.35">
      <c r="A7005" s="32"/>
      <c r="B7005" s="32"/>
    </row>
    <row r="7006" spans="1:2" x14ac:dyDescent="0.35">
      <c r="A7006" s="32"/>
      <c r="B7006" s="32"/>
    </row>
    <row r="7007" spans="1:2" x14ac:dyDescent="0.35">
      <c r="A7007" s="32"/>
      <c r="B7007" s="32"/>
    </row>
    <row r="7008" spans="1:2" x14ac:dyDescent="0.35">
      <c r="A7008" s="32"/>
      <c r="B7008" s="32"/>
    </row>
    <row r="7009" spans="1:2" x14ac:dyDescent="0.35">
      <c r="A7009" s="32"/>
      <c r="B7009" s="32"/>
    </row>
    <row r="7010" spans="1:2" x14ac:dyDescent="0.35">
      <c r="A7010" s="32"/>
      <c r="B7010" s="32"/>
    </row>
    <row r="7011" spans="1:2" x14ac:dyDescent="0.35">
      <c r="A7011" s="32"/>
      <c r="B7011" s="32"/>
    </row>
    <row r="7012" spans="1:2" x14ac:dyDescent="0.35">
      <c r="A7012" s="32"/>
      <c r="B7012" s="32"/>
    </row>
    <row r="7013" spans="1:2" x14ac:dyDescent="0.35">
      <c r="A7013" s="32"/>
      <c r="B7013" s="32"/>
    </row>
    <row r="7014" spans="1:2" x14ac:dyDescent="0.35">
      <c r="A7014" s="32"/>
      <c r="B7014" s="32"/>
    </row>
    <row r="7015" spans="1:2" x14ac:dyDescent="0.35">
      <c r="A7015" s="32"/>
      <c r="B7015" s="32"/>
    </row>
    <row r="7016" spans="1:2" x14ac:dyDescent="0.35">
      <c r="A7016" s="32"/>
      <c r="B7016" s="32"/>
    </row>
    <row r="7017" spans="1:2" x14ac:dyDescent="0.35">
      <c r="A7017" s="32"/>
      <c r="B7017" s="32"/>
    </row>
    <row r="7018" spans="1:2" x14ac:dyDescent="0.35">
      <c r="A7018" s="32"/>
      <c r="B7018" s="32"/>
    </row>
    <row r="7019" spans="1:2" x14ac:dyDescent="0.35">
      <c r="A7019" s="32"/>
      <c r="B7019" s="32"/>
    </row>
    <row r="7020" spans="1:2" x14ac:dyDescent="0.35">
      <c r="A7020" s="32"/>
      <c r="B7020" s="32"/>
    </row>
    <row r="7021" spans="1:2" x14ac:dyDescent="0.35">
      <c r="A7021" s="32"/>
      <c r="B7021" s="32"/>
    </row>
    <row r="7022" spans="1:2" x14ac:dyDescent="0.35">
      <c r="A7022" s="32"/>
      <c r="B7022" s="32"/>
    </row>
    <row r="7023" spans="1:2" x14ac:dyDescent="0.35">
      <c r="A7023" s="32"/>
      <c r="B7023" s="32"/>
    </row>
    <row r="7024" spans="1:2" x14ac:dyDescent="0.35">
      <c r="A7024" s="32"/>
      <c r="B7024" s="32"/>
    </row>
    <row r="7025" spans="1:2" x14ac:dyDescent="0.35">
      <c r="A7025" s="32"/>
      <c r="B7025" s="32"/>
    </row>
    <row r="7026" spans="1:2" x14ac:dyDescent="0.35">
      <c r="A7026" s="32"/>
      <c r="B7026" s="32"/>
    </row>
    <row r="7027" spans="1:2" x14ac:dyDescent="0.35">
      <c r="A7027" s="32"/>
      <c r="B7027" s="32"/>
    </row>
    <row r="7028" spans="1:2" x14ac:dyDescent="0.35">
      <c r="A7028" s="32"/>
      <c r="B7028" s="32"/>
    </row>
    <row r="7029" spans="1:2" x14ac:dyDescent="0.35">
      <c r="A7029" s="32"/>
      <c r="B7029" s="32"/>
    </row>
    <row r="7030" spans="1:2" x14ac:dyDescent="0.35">
      <c r="A7030" s="32"/>
      <c r="B7030" s="32"/>
    </row>
    <row r="7031" spans="1:2" x14ac:dyDescent="0.35">
      <c r="A7031" s="32"/>
      <c r="B7031" s="32"/>
    </row>
    <row r="7032" spans="1:2" x14ac:dyDescent="0.35">
      <c r="A7032" s="32"/>
      <c r="B7032" s="32"/>
    </row>
    <row r="7033" spans="1:2" x14ac:dyDescent="0.35">
      <c r="A7033" s="32"/>
      <c r="B7033" s="32"/>
    </row>
    <row r="7034" spans="1:2" x14ac:dyDescent="0.35">
      <c r="A7034" s="32"/>
      <c r="B7034" s="32"/>
    </row>
    <row r="7035" spans="1:2" x14ac:dyDescent="0.35">
      <c r="A7035" s="32"/>
      <c r="B7035" s="32"/>
    </row>
    <row r="7036" spans="1:2" x14ac:dyDescent="0.35">
      <c r="A7036" s="32"/>
      <c r="B7036" s="32"/>
    </row>
    <row r="7037" spans="1:2" x14ac:dyDescent="0.35">
      <c r="A7037" s="32"/>
      <c r="B7037" s="32"/>
    </row>
    <row r="7038" spans="1:2" x14ac:dyDescent="0.35">
      <c r="A7038" s="32"/>
      <c r="B7038" s="32"/>
    </row>
    <row r="7039" spans="1:2" x14ac:dyDescent="0.35">
      <c r="A7039" s="32"/>
      <c r="B7039" s="32"/>
    </row>
    <row r="7040" spans="1:2" x14ac:dyDescent="0.35">
      <c r="A7040" s="32"/>
      <c r="B7040" s="32"/>
    </row>
    <row r="7041" spans="1:2" x14ac:dyDescent="0.35">
      <c r="A7041" s="32"/>
      <c r="B7041" s="32"/>
    </row>
    <row r="7042" spans="1:2" x14ac:dyDescent="0.35">
      <c r="A7042" s="32"/>
      <c r="B7042" s="32"/>
    </row>
    <row r="7043" spans="1:2" x14ac:dyDescent="0.35">
      <c r="A7043" s="32"/>
      <c r="B7043" s="32"/>
    </row>
    <row r="7044" spans="1:2" x14ac:dyDescent="0.35">
      <c r="A7044" s="32"/>
      <c r="B7044" s="32"/>
    </row>
    <row r="7045" spans="1:2" x14ac:dyDescent="0.35">
      <c r="A7045" s="32"/>
      <c r="B7045" s="32"/>
    </row>
    <row r="7046" spans="1:2" x14ac:dyDescent="0.35">
      <c r="A7046" s="32"/>
      <c r="B7046" s="32"/>
    </row>
    <row r="7047" spans="1:2" x14ac:dyDescent="0.35">
      <c r="A7047" s="32"/>
      <c r="B7047" s="32"/>
    </row>
    <row r="7048" spans="1:2" x14ac:dyDescent="0.35">
      <c r="A7048" s="32"/>
      <c r="B7048" s="32"/>
    </row>
    <row r="7049" spans="1:2" x14ac:dyDescent="0.35">
      <c r="A7049" s="32"/>
      <c r="B7049" s="32"/>
    </row>
    <row r="7050" spans="1:2" x14ac:dyDescent="0.35">
      <c r="A7050" s="32"/>
      <c r="B7050" s="32"/>
    </row>
    <row r="7051" spans="1:2" x14ac:dyDescent="0.35">
      <c r="A7051" s="32"/>
      <c r="B7051" s="32"/>
    </row>
    <row r="7052" spans="1:2" x14ac:dyDescent="0.35">
      <c r="A7052" s="32"/>
      <c r="B7052" s="32"/>
    </row>
    <row r="7053" spans="1:2" x14ac:dyDescent="0.35">
      <c r="A7053" s="32"/>
      <c r="B7053" s="32"/>
    </row>
    <row r="7054" spans="1:2" x14ac:dyDescent="0.35">
      <c r="A7054" s="32"/>
      <c r="B7054" s="32"/>
    </row>
    <row r="7055" spans="1:2" x14ac:dyDescent="0.35">
      <c r="A7055" s="32"/>
      <c r="B7055" s="32"/>
    </row>
    <row r="7056" spans="1:2" x14ac:dyDescent="0.35">
      <c r="A7056" s="32"/>
      <c r="B7056" s="32"/>
    </row>
    <row r="7057" spans="1:2" x14ac:dyDescent="0.35">
      <c r="A7057" s="32"/>
      <c r="B7057" s="32"/>
    </row>
    <row r="7058" spans="1:2" x14ac:dyDescent="0.35">
      <c r="A7058" s="32"/>
      <c r="B7058" s="32"/>
    </row>
    <row r="7059" spans="1:2" x14ac:dyDescent="0.35">
      <c r="A7059" s="32"/>
      <c r="B7059" s="32"/>
    </row>
    <row r="7060" spans="1:2" x14ac:dyDescent="0.35">
      <c r="A7060" s="32"/>
      <c r="B7060" s="32"/>
    </row>
    <row r="7061" spans="1:2" x14ac:dyDescent="0.35">
      <c r="A7061" s="32"/>
      <c r="B7061" s="32"/>
    </row>
    <row r="7062" spans="1:2" x14ac:dyDescent="0.35">
      <c r="A7062" s="32"/>
      <c r="B7062" s="32"/>
    </row>
    <row r="7063" spans="1:2" x14ac:dyDescent="0.35">
      <c r="A7063" s="32"/>
      <c r="B7063" s="32"/>
    </row>
    <row r="7064" spans="1:2" x14ac:dyDescent="0.35">
      <c r="A7064" s="32"/>
      <c r="B7064" s="32"/>
    </row>
    <row r="7065" spans="1:2" x14ac:dyDescent="0.35">
      <c r="A7065" s="32"/>
      <c r="B7065" s="32"/>
    </row>
    <row r="7066" spans="1:2" x14ac:dyDescent="0.35">
      <c r="A7066" s="32"/>
      <c r="B7066" s="32"/>
    </row>
    <row r="7067" spans="1:2" x14ac:dyDescent="0.35">
      <c r="A7067" s="32"/>
      <c r="B7067" s="32"/>
    </row>
    <row r="7068" spans="1:2" x14ac:dyDescent="0.35">
      <c r="A7068" s="32"/>
      <c r="B7068" s="32"/>
    </row>
    <row r="7069" spans="1:2" x14ac:dyDescent="0.35">
      <c r="A7069" s="32"/>
      <c r="B7069" s="32"/>
    </row>
    <row r="7070" spans="1:2" x14ac:dyDescent="0.35">
      <c r="A7070" s="32"/>
      <c r="B7070" s="32"/>
    </row>
    <row r="7071" spans="1:2" x14ac:dyDescent="0.35">
      <c r="A7071" s="32"/>
      <c r="B7071" s="32"/>
    </row>
    <row r="7072" spans="1:2" x14ac:dyDescent="0.35">
      <c r="A7072" s="32"/>
      <c r="B7072" s="32"/>
    </row>
    <row r="7073" spans="1:2" x14ac:dyDescent="0.35">
      <c r="A7073" s="32"/>
      <c r="B7073" s="32"/>
    </row>
    <row r="7074" spans="1:2" x14ac:dyDescent="0.35">
      <c r="A7074" s="32"/>
      <c r="B7074" s="32"/>
    </row>
    <row r="7075" spans="1:2" x14ac:dyDescent="0.35">
      <c r="A7075" s="32"/>
      <c r="B7075" s="32"/>
    </row>
    <row r="7076" spans="1:2" x14ac:dyDescent="0.35">
      <c r="A7076" s="32"/>
      <c r="B7076" s="32"/>
    </row>
    <row r="7077" spans="1:2" x14ac:dyDescent="0.35">
      <c r="A7077" s="32"/>
      <c r="B7077" s="32"/>
    </row>
    <row r="7078" spans="1:2" x14ac:dyDescent="0.35">
      <c r="A7078" s="32"/>
      <c r="B7078" s="32"/>
    </row>
    <row r="7079" spans="1:2" x14ac:dyDescent="0.35">
      <c r="A7079" s="32"/>
      <c r="B7079" s="32"/>
    </row>
    <row r="7080" spans="1:2" x14ac:dyDescent="0.35">
      <c r="A7080" s="32"/>
      <c r="B7080" s="32"/>
    </row>
    <row r="7081" spans="1:2" x14ac:dyDescent="0.35">
      <c r="A7081" s="32"/>
      <c r="B7081" s="32"/>
    </row>
    <row r="7082" spans="1:2" x14ac:dyDescent="0.35">
      <c r="A7082" s="32"/>
      <c r="B7082" s="32"/>
    </row>
    <row r="7083" spans="1:2" x14ac:dyDescent="0.35">
      <c r="A7083" s="32"/>
      <c r="B7083" s="32"/>
    </row>
    <row r="7084" spans="1:2" x14ac:dyDescent="0.35">
      <c r="A7084" s="32"/>
      <c r="B7084" s="32"/>
    </row>
    <row r="7085" spans="1:2" x14ac:dyDescent="0.35">
      <c r="A7085" s="32"/>
      <c r="B7085" s="32"/>
    </row>
    <row r="7086" spans="1:2" x14ac:dyDescent="0.35">
      <c r="A7086" s="32"/>
      <c r="B7086" s="32"/>
    </row>
    <row r="7087" spans="1:2" x14ac:dyDescent="0.35">
      <c r="A7087" s="32"/>
      <c r="B7087" s="32"/>
    </row>
    <row r="7088" spans="1:2" x14ac:dyDescent="0.35">
      <c r="A7088" s="32"/>
      <c r="B7088" s="32"/>
    </row>
    <row r="7089" spans="1:2" x14ac:dyDescent="0.35">
      <c r="A7089" s="32"/>
      <c r="B7089" s="32"/>
    </row>
    <row r="7090" spans="1:2" x14ac:dyDescent="0.35">
      <c r="A7090" s="32"/>
      <c r="B7090" s="32"/>
    </row>
    <row r="7091" spans="1:2" x14ac:dyDescent="0.35">
      <c r="A7091" s="32"/>
      <c r="B7091" s="32"/>
    </row>
    <row r="7092" spans="1:2" x14ac:dyDescent="0.35">
      <c r="A7092" s="32"/>
      <c r="B7092" s="32"/>
    </row>
    <row r="7093" spans="1:2" x14ac:dyDescent="0.35">
      <c r="A7093" s="32"/>
      <c r="B7093" s="32"/>
    </row>
    <row r="7094" spans="1:2" x14ac:dyDescent="0.35">
      <c r="A7094" s="32"/>
      <c r="B7094" s="32"/>
    </row>
    <row r="7095" spans="1:2" x14ac:dyDescent="0.35">
      <c r="A7095" s="32"/>
      <c r="B7095" s="32"/>
    </row>
    <row r="7096" spans="1:2" x14ac:dyDescent="0.35">
      <c r="A7096" s="32"/>
      <c r="B7096" s="32"/>
    </row>
    <row r="7097" spans="1:2" x14ac:dyDescent="0.35">
      <c r="A7097" s="32"/>
      <c r="B7097" s="32"/>
    </row>
    <row r="7098" spans="1:2" x14ac:dyDescent="0.35">
      <c r="A7098" s="32"/>
      <c r="B7098" s="32"/>
    </row>
    <row r="7099" spans="1:2" x14ac:dyDescent="0.35">
      <c r="A7099" s="32"/>
      <c r="B7099" s="32"/>
    </row>
    <row r="7100" spans="1:2" x14ac:dyDescent="0.35">
      <c r="A7100" s="32"/>
      <c r="B7100" s="32"/>
    </row>
    <row r="7101" spans="1:2" x14ac:dyDescent="0.35">
      <c r="A7101" s="32"/>
      <c r="B7101" s="32"/>
    </row>
    <row r="7102" spans="1:2" x14ac:dyDescent="0.35">
      <c r="A7102" s="32"/>
      <c r="B7102" s="32"/>
    </row>
    <row r="7103" spans="1:2" x14ac:dyDescent="0.35">
      <c r="A7103" s="32"/>
      <c r="B7103" s="32"/>
    </row>
    <row r="7104" spans="1:2" x14ac:dyDescent="0.35">
      <c r="A7104" s="32"/>
      <c r="B7104" s="32"/>
    </row>
    <row r="7105" spans="1:2" x14ac:dyDescent="0.35">
      <c r="A7105" s="32"/>
      <c r="B7105" s="32"/>
    </row>
    <row r="7106" spans="1:2" x14ac:dyDescent="0.35">
      <c r="A7106" s="32"/>
      <c r="B7106" s="32"/>
    </row>
    <row r="7107" spans="1:2" x14ac:dyDescent="0.35">
      <c r="A7107" s="32"/>
      <c r="B7107" s="32"/>
    </row>
    <row r="7108" spans="1:2" x14ac:dyDescent="0.35">
      <c r="A7108" s="32"/>
      <c r="B7108" s="32"/>
    </row>
    <row r="7109" spans="1:2" x14ac:dyDescent="0.35">
      <c r="A7109" s="32"/>
      <c r="B7109" s="32"/>
    </row>
    <row r="7110" spans="1:2" x14ac:dyDescent="0.35">
      <c r="A7110" s="32"/>
      <c r="B7110" s="32"/>
    </row>
    <row r="7111" spans="1:2" x14ac:dyDescent="0.35">
      <c r="A7111" s="32"/>
      <c r="B7111" s="32"/>
    </row>
    <row r="7112" spans="1:2" x14ac:dyDescent="0.35">
      <c r="A7112" s="32"/>
      <c r="B7112" s="32"/>
    </row>
    <row r="7113" spans="1:2" x14ac:dyDescent="0.35">
      <c r="A7113" s="32"/>
      <c r="B7113" s="32"/>
    </row>
    <row r="7114" spans="1:2" x14ac:dyDescent="0.35">
      <c r="A7114" s="32"/>
      <c r="B7114" s="32"/>
    </row>
    <row r="7115" spans="1:2" x14ac:dyDescent="0.35">
      <c r="A7115" s="32"/>
      <c r="B7115" s="32"/>
    </row>
    <row r="7116" spans="1:2" x14ac:dyDescent="0.35">
      <c r="A7116" s="32"/>
      <c r="B7116" s="32"/>
    </row>
    <row r="7117" spans="1:2" x14ac:dyDescent="0.35">
      <c r="A7117" s="32"/>
      <c r="B7117" s="32"/>
    </row>
    <row r="7118" spans="1:2" x14ac:dyDescent="0.35">
      <c r="A7118" s="32"/>
      <c r="B7118" s="32"/>
    </row>
    <row r="7119" spans="1:2" x14ac:dyDescent="0.35">
      <c r="A7119" s="32"/>
      <c r="B7119" s="32"/>
    </row>
    <row r="7120" spans="1:2" x14ac:dyDescent="0.35">
      <c r="A7120" s="32"/>
      <c r="B7120" s="32"/>
    </row>
    <row r="7121" spans="1:2" x14ac:dyDescent="0.35">
      <c r="A7121" s="32"/>
      <c r="B7121" s="32"/>
    </row>
    <row r="7122" spans="1:2" x14ac:dyDescent="0.35">
      <c r="A7122" s="32"/>
      <c r="B7122" s="32"/>
    </row>
    <row r="7123" spans="1:2" x14ac:dyDescent="0.35">
      <c r="A7123" s="32"/>
      <c r="B7123" s="32"/>
    </row>
    <row r="7124" spans="1:2" x14ac:dyDescent="0.35">
      <c r="A7124" s="32"/>
      <c r="B7124" s="32"/>
    </row>
    <row r="7125" spans="1:2" x14ac:dyDescent="0.35">
      <c r="A7125" s="32"/>
      <c r="B7125" s="32"/>
    </row>
    <row r="7126" spans="1:2" x14ac:dyDescent="0.35">
      <c r="A7126" s="32"/>
      <c r="B7126" s="32"/>
    </row>
    <row r="7127" spans="1:2" x14ac:dyDescent="0.35">
      <c r="A7127" s="32"/>
      <c r="B7127" s="32"/>
    </row>
    <row r="7128" spans="1:2" x14ac:dyDescent="0.35">
      <c r="A7128" s="32"/>
      <c r="B7128" s="32"/>
    </row>
    <row r="7129" spans="1:2" x14ac:dyDescent="0.35">
      <c r="A7129" s="32"/>
      <c r="B7129" s="32"/>
    </row>
    <row r="7130" spans="1:2" x14ac:dyDescent="0.35">
      <c r="A7130" s="32"/>
      <c r="B7130" s="32"/>
    </row>
    <row r="7131" spans="1:2" x14ac:dyDescent="0.35">
      <c r="A7131" s="32"/>
      <c r="B7131" s="32"/>
    </row>
    <row r="7132" spans="1:2" x14ac:dyDescent="0.35">
      <c r="A7132" s="32"/>
      <c r="B7132" s="32"/>
    </row>
    <row r="7133" spans="1:2" x14ac:dyDescent="0.35">
      <c r="A7133" s="32"/>
      <c r="B7133" s="32"/>
    </row>
    <row r="7134" spans="1:2" x14ac:dyDescent="0.35">
      <c r="A7134" s="32"/>
      <c r="B7134" s="32"/>
    </row>
    <row r="7135" spans="1:2" x14ac:dyDescent="0.35">
      <c r="A7135" s="32"/>
      <c r="B7135" s="32"/>
    </row>
    <row r="7136" spans="1:2" x14ac:dyDescent="0.35">
      <c r="A7136" s="32"/>
      <c r="B7136" s="32"/>
    </row>
    <row r="7137" spans="1:2" x14ac:dyDescent="0.35">
      <c r="A7137" s="32"/>
      <c r="B7137" s="32"/>
    </row>
    <row r="7138" spans="1:2" x14ac:dyDescent="0.35">
      <c r="A7138" s="32"/>
      <c r="B7138" s="32"/>
    </row>
    <row r="7139" spans="1:2" x14ac:dyDescent="0.35">
      <c r="A7139" s="32"/>
      <c r="B7139" s="32"/>
    </row>
    <row r="7140" spans="1:2" x14ac:dyDescent="0.35">
      <c r="A7140" s="32"/>
      <c r="B7140" s="32"/>
    </row>
    <row r="7141" spans="1:2" x14ac:dyDescent="0.35">
      <c r="A7141" s="32"/>
      <c r="B7141" s="32"/>
    </row>
    <row r="7142" spans="1:2" x14ac:dyDescent="0.35">
      <c r="A7142" s="32"/>
      <c r="B7142" s="32"/>
    </row>
    <row r="7143" spans="1:2" x14ac:dyDescent="0.35">
      <c r="A7143" s="32"/>
      <c r="B7143" s="32"/>
    </row>
    <row r="7144" spans="1:2" x14ac:dyDescent="0.35">
      <c r="A7144" s="32"/>
      <c r="B7144" s="32"/>
    </row>
    <row r="7145" spans="1:2" x14ac:dyDescent="0.35">
      <c r="A7145" s="32"/>
      <c r="B7145" s="32"/>
    </row>
    <row r="7146" spans="1:2" x14ac:dyDescent="0.35">
      <c r="A7146" s="32"/>
      <c r="B7146" s="32"/>
    </row>
    <row r="7147" spans="1:2" x14ac:dyDescent="0.35">
      <c r="A7147" s="32"/>
      <c r="B7147" s="32"/>
    </row>
    <row r="7148" spans="1:2" x14ac:dyDescent="0.35">
      <c r="A7148" s="32"/>
      <c r="B7148" s="32"/>
    </row>
    <row r="7149" spans="1:2" x14ac:dyDescent="0.35">
      <c r="A7149" s="32"/>
      <c r="B7149" s="32"/>
    </row>
    <row r="7150" spans="1:2" x14ac:dyDescent="0.35">
      <c r="A7150" s="32"/>
      <c r="B7150" s="32"/>
    </row>
    <row r="7151" spans="1:2" x14ac:dyDescent="0.35">
      <c r="A7151" s="32"/>
      <c r="B7151" s="32"/>
    </row>
    <row r="7152" spans="1:2" x14ac:dyDescent="0.35">
      <c r="A7152" s="32"/>
      <c r="B7152" s="32"/>
    </row>
    <row r="7153" spans="1:2" x14ac:dyDescent="0.35">
      <c r="A7153" s="32"/>
      <c r="B7153" s="32"/>
    </row>
    <row r="7154" spans="1:2" x14ac:dyDescent="0.35">
      <c r="A7154" s="32"/>
      <c r="B7154" s="32"/>
    </row>
    <row r="7155" spans="1:2" x14ac:dyDescent="0.35">
      <c r="A7155" s="32"/>
      <c r="B7155" s="32"/>
    </row>
    <row r="7156" spans="1:2" x14ac:dyDescent="0.35">
      <c r="A7156" s="32"/>
      <c r="B7156" s="32"/>
    </row>
    <row r="7157" spans="1:2" x14ac:dyDescent="0.35">
      <c r="A7157" s="32"/>
      <c r="B7157" s="32"/>
    </row>
    <row r="7158" spans="1:2" x14ac:dyDescent="0.35">
      <c r="A7158" s="32"/>
      <c r="B7158" s="32"/>
    </row>
    <row r="7159" spans="1:2" x14ac:dyDescent="0.35">
      <c r="A7159" s="32"/>
      <c r="B7159" s="32"/>
    </row>
    <row r="7160" spans="1:2" x14ac:dyDescent="0.35">
      <c r="A7160" s="32"/>
      <c r="B7160" s="32"/>
    </row>
    <row r="7161" spans="1:2" x14ac:dyDescent="0.35">
      <c r="A7161" s="32"/>
      <c r="B7161" s="32"/>
    </row>
    <row r="7162" spans="1:2" x14ac:dyDescent="0.35">
      <c r="A7162" s="32"/>
      <c r="B7162" s="32"/>
    </row>
    <row r="7163" spans="1:2" x14ac:dyDescent="0.35">
      <c r="A7163" s="32"/>
      <c r="B7163" s="32"/>
    </row>
    <row r="7164" spans="1:2" x14ac:dyDescent="0.35">
      <c r="A7164" s="32"/>
      <c r="B7164" s="32"/>
    </row>
    <row r="7165" spans="1:2" x14ac:dyDescent="0.35">
      <c r="A7165" s="32"/>
      <c r="B7165" s="32"/>
    </row>
    <row r="7166" spans="1:2" x14ac:dyDescent="0.35">
      <c r="A7166" s="32"/>
      <c r="B7166" s="32"/>
    </row>
    <row r="7167" spans="1:2" x14ac:dyDescent="0.35">
      <c r="A7167" s="32"/>
      <c r="B7167" s="32"/>
    </row>
    <row r="7168" spans="1:2" x14ac:dyDescent="0.35">
      <c r="A7168" s="32"/>
      <c r="B7168" s="32"/>
    </row>
    <row r="7169" spans="1:2" x14ac:dyDescent="0.35">
      <c r="A7169" s="32"/>
      <c r="B7169" s="32"/>
    </row>
    <row r="7170" spans="1:2" x14ac:dyDescent="0.35">
      <c r="A7170" s="32"/>
      <c r="B7170" s="32"/>
    </row>
    <row r="7171" spans="1:2" x14ac:dyDescent="0.35">
      <c r="A7171" s="32"/>
      <c r="B7171" s="32"/>
    </row>
    <row r="7172" spans="1:2" x14ac:dyDescent="0.35">
      <c r="A7172" s="32"/>
      <c r="B7172" s="32"/>
    </row>
    <row r="7173" spans="1:2" x14ac:dyDescent="0.35">
      <c r="A7173" s="32"/>
      <c r="B7173" s="32"/>
    </row>
    <row r="7174" spans="1:2" x14ac:dyDescent="0.35">
      <c r="A7174" s="32"/>
      <c r="B7174" s="32"/>
    </row>
    <row r="7175" spans="1:2" x14ac:dyDescent="0.35">
      <c r="A7175" s="32"/>
      <c r="B7175" s="32"/>
    </row>
    <row r="7176" spans="1:2" x14ac:dyDescent="0.35">
      <c r="A7176" s="32"/>
      <c r="B7176" s="32"/>
    </row>
    <row r="7177" spans="1:2" x14ac:dyDescent="0.35">
      <c r="A7177" s="32"/>
      <c r="B7177" s="32"/>
    </row>
    <row r="7178" spans="1:2" x14ac:dyDescent="0.35">
      <c r="A7178" s="32"/>
      <c r="B7178" s="32"/>
    </row>
    <row r="7179" spans="1:2" x14ac:dyDescent="0.35">
      <c r="A7179" s="32"/>
      <c r="B7179" s="32"/>
    </row>
    <row r="7180" spans="1:2" x14ac:dyDescent="0.35">
      <c r="A7180" s="32"/>
      <c r="B7180" s="32"/>
    </row>
    <row r="7181" spans="1:2" x14ac:dyDescent="0.35">
      <c r="A7181" s="32"/>
      <c r="B7181" s="32"/>
    </row>
    <row r="7182" spans="1:2" x14ac:dyDescent="0.35">
      <c r="A7182" s="32"/>
      <c r="B7182" s="32"/>
    </row>
    <row r="7183" spans="1:2" x14ac:dyDescent="0.35">
      <c r="A7183" s="32"/>
      <c r="B7183" s="32"/>
    </row>
    <row r="7184" spans="1:2" x14ac:dyDescent="0.35">
      <c r="A7184" s="32"/>
      <c r="B7184" s="32"/>
    </row>
    <row r="7185" spans="1:2" x14ac:dyDescent="0.35">
      <c r="A7185" s="32"/>
      <c r="B7185" s="32"/>
    </row>
    <row r="7186" spans="1:2" x14ac:dyDescent="0.35">
      <c r="A7186" s="32"/>
      <c r="B7186" s="32"/>
    </row>
    <row r="7187" spans="1:2" x14ac:dyDescent="0.35">
      <c r="A7187" s="32"/>
      <c r="B7187" s="32"/>
    </row>
    <row r="7188" spans="1:2" x14ac:dyDescent="0.35">
      <c r="A7188" s="32"/>
      <c r="B7188" s="32"/>
    </row>
    <row r="7189" spans="1:2" x14ac:dyDescent="0.35">
      <c r="A7189" s="32"/>
      <c r="B7189" s="32"/>
    </row>
    <row r="7190" spans="1:2" x14ac:dyDescent="0.35">
      <c r="A7190" s="32"/>
      <c r="B7190" s="32"/>
    </row>
    <row r="7191" spans="1:2" x14ac:dyDescent="0.35">
      <c r="A7191" s="32"/>
      <c r="B7191" s="32"/>
    </row>
    <row r="7192" spans="1:2" x14ac:dyDescent="0.35">
      <c r="A7192" s="32"/>
      <c r="B7192" s="32"/>
    </row>
    <row r="7193" spans="1:2" x14ac:dyDescent="0.35">
      <c r="A7193" s="32"/>
      <c r="B7193" s="32"/>
    </row>
    <row r="7194" spans="1:2" x14ac:dyDescent="0.35">
      <c r="A7194" s="32"/>
      <c r="B7194" s="32"/>
    </row>
    <row r="7195" spans="1:2" x14ac:dyDescent="0.35">
      <c r="A7195" s="32"/>
      <c r="B7195" s="32"/>
    </row>
    <row r="7196" spans="1:2" x14ac:dyDescent="0.35">
      <c r="A7196" s="32"/>
      <c r="B7196" s="32"/>
    </row>
    <row r="7197" spans="1:2" x14ac:dyDescent="0.35">
      <c r="A7197" s="32"/>
      <c r="B7197" s="32"/>
    </row>
    <row r="7198" spans="1:2" x14ac:dyDescent="0.35">
      <c r="A7198" s="32"/>
      <c r="B7198" s="32"/>
    </row>
    <row r="7199" spans="1:2" x14ac:dyDescent="0.35">
      <c r="A7199" s="32"/>
      <c r="B7199" s="32"/>
    </row>
    <row r="7200" spans="1:2" x14ac:dyDescent="0.35">
      <c r="A7200" s="32"/>
      <c r="B7200" s="32"/>
    </row>
    <row r="7201" spans="1:2" x14ac:dyDescent="0.35">
      <c r="A7201" s="32"/>
      <c r="B7201" s="32"/>
    </row>
    <row r="7202" spans="1:2" x14ac:dyDescent="0.35">
      <c r="A7202" s="32"/>
      <c r="B7202" s="32"/>
    </row>
    <row r="7203" spans="1:2" x14ac:dyDescent="0.35">
      <c r="A7203" s="32"/>
      <c r="B7203" s="32"/>
    </row>
    <row r="7204" spans="1:2" x14ac:dyDescent="0.35">
      <c r="A7204" s="32"/>
      <c r="B7204" s="32"/>
    </row>
    <row r="7205" spans="1:2" x14ac:dyDescent="0.35">
      <c r="A7205" s="32"/>
      <c r="B7205" s="32"/>
    </row>
    <row r="7206" spans="1:2" x14ac:dyDescent="0.35">
      <c r="A7206" s="32"/>
      <c r="B7206" s="32"/>
    </row>
    <row r="7207" spans="1:2" x14ac:dyDescent="0.35">
      <c r="A7207" s="32"/>
      <c r="B7207" s="32"/>
    </row>
    <row r="7208" spans="1:2" x14ac:dyDescent="0.35">
      <c r="A7208" s="32"/>
      <c r="B7208" s="32"/>
    </row>
    <row r="7209" spans="1:2" x14ac:dyDescent="0.35">
      <c r="A7209" s="32"/>
      <c r="B7209" s="32"/>
    </row>
    <row r="7210" spans="1:2" x14ac:dyDescent="0.35">
      <c r="A7210" s="32"/>
      <c r="B7210" s="32"/>
    </row>
    <row r="7211" spans="1:2" x14ac:dyDescent="0.35">
      <c r="A7211" s="32"/>
      <c r="B7211" s="32"/>
    </row>
    <row r="7212" spans="1:2" x14ac:dyDescent="0.35">
      <c r="A7212" s="32"/>
      <c r="B7212" s="32"/>
    </row>
    <row r="7213" spans="1:2" x14ac:dyDescent="0.35">
      <c r="A7213" s="32"/>
      <c r="B7213" s="32"/>
    </row>
    <row r="7214" spans="1:2" x14ac:dyDescent="0.35">
      <c r="A7214" s="32"/>
      <c r="B7214" s="32"/>
    </row>
    <row r="7215" spans="1:2" x14ac:dyDescent="0.35">
      <c r="A7215" s="32"/>
      <c r="B7215" s="32"/>
    </row>
    <row r="7216" spans="1:2" x14ac:dyDescent="0.35">
      <c r="A7216" s="32"/>
      <c r="B7216" s="32"/>
    </row>
    <row r="7217" spans="1:2" x14ac:dyDescent="0.35">
      <c r="A7217" s="32"/>
      <c r="B7217" s="32"/>
    </row>
    <row r="7218" spans="1:2" x14ac:dyDescent="0.35">
      <c r="A7218" s="32"/>
      <c r="B7218" s="32"/>
    </row>
    <row r="7219" spans="1:2" x14ac:dyDescent="0.35">
      <c r="A7219" s="32"/>
      <c r="B7219" s="32"/>
    </row>
    <row r="7220" spans="1:2" x14ac:dyDescent="0.35">
      <c r="A7220" s="32"/>
      <c r="B7220" s="32"/>
    </row>
    <row r="7221" spans="1:2" x14ac:dyDescent="0.35">
      <c r="A7221" s="32"/>
      <c r="B7221" s="32"/>
    </row>
    <row r="7222" spans="1:2" x14ac:dyDescent="0.35">
      <c r="A7222" s="32"/>
      <c r="B7222" s="32"/>
    </row>
    <row r="7223" spans="1:2" x14ac:dyDescent="0.35">
      <c r="A7223" s="32"/>
      <c r="B7223" s="32"/>
    </row>
    <row r="7224" spans="1:2" x14ac:dyDescent="0.35">
      <c r="A7224" s="32"/>
      <c r="B7224" s="32"/>
    </row>
    <row r="7225" spans="1:2" x14ac:dyDescent="0.35">
      <c r="A7225" s="32"/>
      <c r="B7225" s="32"/>
    </row>
    <row r="7226" spans="1:2" x14ac:dyDescent="0.35">
      <c r="A7226" s="32"/>
      <c r="B7226" s="32"/>
    </row>
    <row r="7227" spans="1:2" x14ac:dyDescent="0.35">
      <c r="A7227" s="32"/>
      <c r="B7227" s="32"/>
    </row>
    <row r="7228" spans="1:2" x14ac:dyDescent="0.35">
      <c r="A7228" s="32"/>
      <c r="B7228" s="32"/>
    </row>
    <row r="7229" spans="1:2" x14ac:dyDescent="0.35">
      <c r="A7229" s="32"/>
      <c r="B7229" s="32"/>
    </row>
    <row r="7230" spans="1:2" x14ac:dyDescent="0.35">
      <c r="A7230" s="32"/>
      <c r="B7230" s="32"/>
    </row>
    <row r="7231" spans="1:2" x14ac:dyDescent="0.35">
      <c r="A7231" s="32"/>
      <c r="B7231" s="32"/>
    </row>
    <row r="7232" spans="1:2" x14ac:dyDescent="0.35">
      <c r="A7232" s="32"/>
      <c r="B7232" s="32"/>
    </row>
    <row r="7233" spans="1:2" x14ac:dyDescent="0.35">
      <c r="A7233" s="32"/>
      <c r="B7233" s="32"/>
    </row>
    <row r="7234" spans="1:2" x14ac:dyDescent="0.35">
      <c r="A7234" s="32"/>
      <c r="B7234" s="32"/>
    </row>
    <row r="7235" spans="1:2" x14ac:dyDescent="0.35">
      <c r="A7235" s="32"/>
      <c r="B7235" s="32"/>
    </row>
    <row r="7236" spans="1:2" x14ac:dyDescent="0.35">
      <c r="A7236" s="32"/>
      <c r="B7236" s="32"/>
    </row>
    <row r="7237" spans="1:2" x14ac:dyDescent="0.35">
      <c r="A7237" s="32"/>
      <c r="B7237" s="32"/>
    </row>
    <row r="7238" spans="1:2" x14ac:dyDescent="0.35">
      <c r="A7238" s="32"/>
      <c r="B7238" s="32"/>
    </row>
    <row r="7239" spans="1:2" x14ac:dyDescent="0.35">
      <c r="A7239" s="32"/>
      <c r="B7239" s="32"/>
    </row>
    <row r="7240" spans="1:2" x14ac:dyDescent="0.35">
      <c r="A7240" s="32"/>
      <c r="B7240" s="32"/>
    </row>
    <row r="7241" spans="1:2" x14ac:dyDescent="0.35">
      <c r="A7241" s="32"/>
      <c r="B7241" s="32"/>
    </row>
    <row r="7242" spans="1:2" x14ac:dyDescent="0.35">
      <c r="A7242" s="32"/>
      <c r="B7242" s="32"/>
    </row>
    <row r="7243" spans="1:2" x14ac:dyDescent="0.35">
      <c r="A7243" s="32"/>
      <c r="B7243" s="32"/>
    </row>
    <row r="7244" spans="1:2" x14ac:dyDescent="0.35">
      <c r="A7244" s="32"/>
      <c r="B7244" s="32"/>
    </row>
    <row r="7245" spans="1:2" x14ac:dyDescent="0.35">
      <c r="A7245" s="32"/>
      <c r="B7245" s="32"/>
    </row>
    <row r="7246" spans="1:2" x14ac:dyDescent="0.35">
      <c r="A7246" s="32"/>
      <c r="B7246" s="32"/>
    </row>
    <row r="7247" spans="1:2" x14ac:dyDescent="0.35">
      <c r="A7247" s="32"/>
      <c r="B7247" s="32"/>
    </row>
    <row r="7248" spans="1:2" x14ac:dyDescent="0.35">
      <c r="A7248" s="32"/>
      <c r="B7248" s="32"/>
    </row>
    <row r="7249" spans="1:2" x14ac:dyDescent="0.35">
      <c r="A7249" s="32"/>
      <c r="B7249" s="32"/>
    </row>
    <row r="7250" spans="1:2" x14ac:dyDescent="0.35">
      <c r="A7250" s="32"/>
      <c r="B7250" s="32"/>
    </row>
    <row r="7251" spans="1:2" x14ac:dyDescent="0.35">
      <c r="A7251" s="32"/>
      <c r="B7251" s="32"/>
    </row>
    <row r="7252" spans="1:2" x14ac:dyDescent="0.35">
      <c r="A7252" s="32"/>
      <c r="B7252" s="32"/>
    </row>
    <row r="7253" spans="1:2" x14ac:dyDescent="0.35">
      <c r="A7253" s="32"/>
      <c r="B7253" s="32"/>
    </row>
    <row r="7254" spans="1:2" x14ac:dyDescent="0.35">
      <c r="A7254" s="32"/>
      <c r="B7254" s="32"/>
    </row>
    <row r="7255" spans="1:2" x14ac:dyDescent="0.35">
      <c r="A7255" s="32"/>
      <c r="B7255" s="32"/>
    </row>
    <row r="7256" spans="1:2" x14ac:dyDescent="0.35">
      <c r="A7256" s="32"/>
      <c r="B7256" s="32"/>
    </row>
    <row r="7257" spans="1:2" x14ac:dyDescent="0.35">
      <c r="A7257" s="32"/>
      <c r="B7257" s="32"/>
    </row>
    <row r="7258" spans="1:2" x14ac:dyDescent="0.35">
      <c r="A7258" s="32"/>
      <c r="B7258" s="32"/>
    </row>
    <row r="7259" spans="1:2" x14ac:dyDescent="0.35">
      <c r="A7259" s="32"/>
      <c r="B7259" s="32"/>
    </row>
    <row r="7260" spans="1:2" x14ac:dyDescent="0.35">
      <c r="A7260" s="32"/>
      <c r="B7260" s="32"/>
    </row>
    <row r="7261" spans="1:2" x14ac:dyDescent="0.35">
      <c r="A7261" s="32"/>
      <c r="B7261" s="32"/>
    </row>
    <row r="7262" spans="1:2" x14ac:dyDescent="0.35">
      <c r="A7262" s="32"/>
      <c r="B7262" s="32"/>
    </row>
    <row r="7263" spans="1:2" x14ac:dyDescent="0.35">
      <c r="A7263" s="32"/>
      <c r="B7263" s="32"/>
    </row>
    <row r="7264" spans="1:2" x14ac:dyDescent="0.35">
      <c r="A7264" s="32"/>
      <c r="B7264" s="32"/>
    </row>
    <row r="7265" spans="1:2" x14ac:dyDescent="0.35">
      <c r="A7265" s="32"/>
      <c r="B7265" s="32"/>
    </row>
    <row r="7266" spans="1:2" x14ac:dyDescent="0.35">
      <c r="A7266" s="32"/>
      <c r="B7266" s="32"/>
    </row>
    <row r="7267" spans="1:2" x14ac:dyDescent="0.35">
      <c r="A7267" s="32"/>
      <c r="B7267" s="32"/>
    </row>
    <row r="7268" spans="1:2" x14ac:dyDescent="0.35">
      <c r="A7268" s="32"/>
      <c r="B7268" s="32"/>
    </row>
    <row r="7269" spans="1:2" x14ac:dyDescent="0.35">
      <c r="A7269" s="32"/>
      <c r="B7269" s="32"/>
    </row>
    <row r="7270" spans="1:2" x14ac:dyDescent="0.35">
      <c r="A7270" s="32"/>
      <c r="B7270" s="32"/>
    </row>
    <row r="7271" spans="1:2" x14ac:dyDescent="0.35">
      <c r="A7271" s="32"/>
      <c r="B7271" s="32"/>
    </row>
    <row r="7272" spans="1:2" x14ac:dyDescent="0.35">
      <c r="A7272" s="32"/>
      <c r="B7272" s="32"/>
    </row>
    <row r="7273" spans="1:2" x14ac:dyDescent="0.35">
      <c r="A7273" s="32"/>
      <c r="B7273" s="32"/>
    </row>
    <row r="7274" spans="1:2" x14ac:dyDescent="0.35">
      <c r="A7274" s="32"/>
      <c r="B7274" s="32"/>
    </row>
    <row r="7275" spans="1:2" x14ac:dyDescent="0.35">
      <c r="A7275" s="32"/>
      <c r="B7275" s="32"/>
    </row>
    <row r="7276" spans="1:2" x14ac:dyDescent="0.35">
      <c r="A7276" s="32"/>
      <c r="B7276" s="32"/>
    </row>
    <row r="7277" spans="1:2" x14ac:dyDescent="0.35">
      <c r="A7277" s="32"/>
      <c r="B7277" s="32"/>
    </row>
    <row r="7278" spans="1:2" x14ac:dyDescent="0.35">
      <c r="A7278" s="32"/>
      <c r="B7278" s="32"/>
    </row>
    <row r="7279" spans="1:2" x14ac:dyDescent="0.35">
      <c r="A7279" s="32"/>
      <c r="B7279" s="32"/>
    </row>
    <row r="7280" spans="1:2" x14ac:dyDescent="0.35">
      <c r="A7280" s="32"/>
      <c r="B7280" s="32"/>
    </row>
    <row r="7281" spans="1:2" x14ac:dyDescent="0.35">
      <c r="A7281" s="32"/>
      <c r="B7281" s="32"/>
    </row>
    <row r="7282" spans="1:2" x14ac:dyDescent="0.35">
      <c r="A7282" s="32"/>
      <c r="B7282" s="32"/>
    </row>
    <row r="7283" spans="1:2" x14ac:dyDescent="0.35">
      <c r="A7283" s="32"/>
      <c r="B7283" s="32"/>
    </row>
    <row r="7284" spans="1:2" x14ac:dyDescent="0.35">
      <c r="A7284" s="32"/>
      <c r="B7284" s="32"/>
    </row>
    <row r="7285" spans="1:2" x14ac:dyDescent="0.35">
      <c r="A7285" s="32"/>
      <c r="B7285" s="32"/>
    </row>
    <row r="7286" spans="1:2" x14ac:dyDescent="0.35">
      <c r="A7286" s="32"/>
      <c r="B7286" s="32"/>
    </row>
    <row r="7287" spans="1:2" x14ac:dyDescent="0.35">
      <c r="A7287" s="32"/>
      <c r="B7287" s="32"/>
    </row>
    <row r="7288" spans="1:2" x14ac:dyDescent="0.35">
      <c r="A7288" s="32"/>
      <c r="B7288" s="32"/>
    </row>
    <row r="7289" spans="1:2" x14ac:dyDescent="0.35">
      <c r="A7289" s="32"/>
      <c r="B7289" s="32"/>
    </row>
    <row r="7290" spans="1:2" x14ac:dyDescent="0.35">
      <c r="A7290" s="32"/>
      <c r="B7290" s="32"/>
    </row>
    <row r="7291" spans="1:2" x14ac:dyDescent="0.35">
      <c r="A7291" s="32"/>
      <c r="B7291" s="32"/>
    </row>
    <row r="7292" spans="1:2" x14ac:dyDescent="0.35">
      <c r="A7292" s="32"/>
      <c r="B7292" s="32"/>
    </row>
    <row r="7293" spans="1:2" x14ac:dyDescent="0.35">
      <c r="A7293" s="32"/>
      <c r="B7293" s="32"/>
    </row>
    <row r="7294" spans="1:2" x14ac:dyDescent="0.35">
      <c r="A7294" s="32"/>
      <c r="B7294" s="32"/>
    </row>
    <row r="7295" spans="1:2" x14ac:dyDescent="0.35">
      <c r="A7295" s="32"/>
      <c r="B7295" s="32"/>
    </row>
    <row r="7296" spans="1:2" x14ac:dyDescent="0.35">
      <c r="A7296" s="32"/>
      <c r="B7296" s="32"/>
    </row>
    <row r="7297" spans="1:2" x14ac:dyDescent="0.35">
      <c r="A7297" s="32"/>
      <c r="B7297" s="32"/>
    </row>
    <row r="7298" spans="1:2" x14ac:dyDescent="0.35">
      <c r="A7298" s="32"/>
      <c r="B7298" s="32"/>
    </row>
    <row r="7299" spans="1:2" x14ac:dyDescent="0.35">
      <c r="A7299" s="32"/>
      <c r="B7299" s="32"/>
    </row>
    <row r="7300" spans="1:2" x14ac:dyDescent="0.35">
      <c r="A7300" s="32"/>
      <c r="B7300" s="32"/>
    </row>
    <row r="7301" spans="1:2" x14ac:dyDescent="0.35">
      <c r="A7301" s="32"/>
      <c r="B7301" s="32"/>
    </row>
    <row r="7302" spans="1:2" x14ac:dyDescent="0.35">
      <c r="A7302" s="32"/>
      <c r="B7302" s="32"/>
    </row>
    <row r="7303" spans="1:2" x14ac:dyDescent="0.35">
      <c r="A7303" s="32"/>
      <c r="B7303" s="32"/>
    </row>
    <row r="7304" spans="1:2" x14ac:dyDescent="0.35">
      <c r="A7304" s="32"/>
      <c r="B7304" s="32"/>
    </row>
    <row r="7305" spans="1:2" x14ac:dyDescent="0.35">
      <c r="A7305" s="32"/>
      <c r="B7305" s="32"/>
    </row>
    <row r="7306" spans="1:2" x14ac:dyDescent="0.35">
      <c r="A7306" s="32"/>
      <c r="B7306" s="32"/>
    </row>
    <row r="7307" spans="1:2" x14ac:dyDescent="0.35">
      <c r="A7307" s="32"/>
      <c r="B7307" s="32"/>
    </row>
    <row r="7308" spans="1:2" x14ac:dyDescent="0.35">
      <c r="A7308" s="32"/>
      <c r="B7308" s="32"/>
    </row>
    <row r="7309" spans="1:2" x14ac:dyDescent="0.35">
      <c r="A7309" s="32"/>
      <c r="B7309" s="32"/>
    </row>
    <row r="7310" spans="1:2" x14ac:dyDescent="0.35">
      <c r="A7310" s="32"/>
      <c r="B7310" s="32"/>
    </row>
    <row r="7311" spans="1:2" x14ac:dyDescent="0.35">
      <c r="A7311" s="32"/>
      <c r="B7311" s="32"/>
    </row>
    <row r="7312" spans="1:2" x14ac:dyDescent="0.35">
      <c r="A7312" s="32"/>
      <c r="B7312" s="32"/>
    </row>
    <row r="7313" spans="1:2" x14ac:dyDescent="0.35">
      <c r="A7313" s="32"/>
      <c r="B7313" s="32"/>
    </row>
    <row r="7314" spans="1:2" x14ac:dyDescent="0.35">
      <c r="A7314" s="32"/>
      <c r="B7314" s="32"/>
    </row>
    <row r="7315" spans="1:2" x14ac:dyDescent="0.35">
      <c r="A7315" s="32"/>
      <c r="B7315" s="32"/>
    </row>
    <row r="7316" spans="1:2" x14ac:dyDescent="0.35">
      <c r="A7316" s="32"/>
      <c r="B7316" s="32"/>
    </row>
    <row r="7317" spans="1:2" x14ac:dyDescent="0.35">
      <c r="A7317" s="32"/>
      <c r="B7317" s="32"/>
    </row>
    <row r="7318" spans="1:2" x14ac:dyDescent="0.35">
      <c r="A7318" s="32"/>
      <c r="B7318" s="32"/>
    </row>
    <row r="7319" spans="1:2" x14ac:dyDescent="0.35">
      <c r="A7319" s="32"/>
      <c r="B7319" s="32"/>
    </row>
    <row r="7320" spans="1:2" x14ac:dyDescent="0.35">
      <c r="A7320" s="32"/>
      <c r="B7320" s="32"/>
    </row>
    <row r="7321" spans="1:2" x14ac:dyDescent="0.35">
      <c r="A7321" s="32"/>
      <c r="B7321" s="32"/>
    </row>
    <row r="7322" spans="1:2" x14ac:dyDescent="0.35">
      <c r="A7322" s="32"/>
      <c r="B7322" s="32"/>
    </row>
    <row r="7323" spans="1:2" x14ac:dyDescent="0.35">
      <c r="A7323" s="32"/>
      <c r="B7323" s="32"/>
    </row>
    <row r="7324" spans="1:2" x14ac:dyDescent="0.35">
      <c r="A7324" s="32"/>
      <c r="B7324" s="32"/>
    </row>
    <row r="7325" spans="1:2" x14ac:dyDescent="0.35">
      <c r="A7325" s="32"/>
      <c r="B7325" s="32"/>
    </row>
    <row r="7326" spans="1:2" x14ac:dyDescent="0.35">
      <c r="A7326" s="32"/>
      <c r="B7326" s="32"/>
    </row>
    <row r="7327" spans="1:2" x14ac:dyDescent="0.35">
      <c r="A7327" s="32"/>
      <c r="B7327" s="32"/>
    </row>
    <row r="7328" spans="1:2" x14ac:dyDescent="0.35">
      <c r="A7328" s="32"/>
      <c r="B7328" s="32"/>
    </row>
    <row r="7329" spans="1:2" x14ac:dyDescent="0.35">
      <c r="A7329" s="32"/>
      <c r="B7329" s="32"/>
    </row>
    <row r="7330" spans="1:2" x14ac:dyDescent="0.35">
      <c r="A7330" s="32"/>
      <c r="B7330" s="32"/>
    </row>
    <row r="7331" spans="1:2" x14ac:dyDescent="0.35">
      <c r="A7331" s="32"/>
      <c r="B7331" s="32"/>
    </row>
    <row r="7332" spans="1:2" x14ac:dyDescent="0.35">
      <c r="A7332" s="32"/>
      <c r="B7332" s="32"/>
    </row>
    <row r="7333" spans="1:2" x14ac:dyDescent="0.35">
      <c r="A7333" s="32"/>
      <c r="B7333" s="32"/>
    </row>
    <row r="7334" spans="1:2" x14ac:dyDescent="0.35">
      <c r="A7334" s="32"/>
      <c r="B7334" s="32"/>
    </row>
    <row r="7335" spans="1:2" x14ac:dyDescent="0.35">
      <c r="A7335" s="32"/>
      <c r="B7335" s="32"/>
    </row>
    <row r="7336" spans="1:2" x14ac:dyDescent="0.35">
      <c r="A7336" s="32"/>
      <c r="B7336" s="32"/>
    </row>
    <row r="7337" spans="1:2" x14ac:dyDescent="0.35">
      <c r="A7337" s="32"/>
      <c r="B7337" s="32"/>
    </row>
    <row r="7338" spans="1:2" x14ac:dyDescent="0.35">
      <c r="A7338" s="32"/>
      <c r="B7338" s="32"/>
    </row>
    <row r="7339" spans="1:2" x14ac:dyDescent="0.35">
      <c r="A7339" s="32"/>
      <c r="B7339" s="32"/>
    </row>
    <row r="7340" spans="1:2" x14ac:dyDescent="0.35">
      <c r="A7340" s="32"/>
      <c r="B7340" s="32"/>
    </row>
    <row r="7341" spans="1:2" x14ac:dyDescent="0.35">
      <c r="A7341" s="32"/>
      <c r="B7341" s="32"/>
    </row>
    <row r="7342" spans="1:2" x14ac:dyDescent="0.35">
      <c r="A7342" s="32"/>
      <c r="B7342" s="32"/>
    </row>
    <row r="7343" spans="1:2" x14ac:dyDescent="0.35">
      <c r="A7343" s="32"/>
      <c r="B7343" s="32"/>
    </row>
    <row r="7344" spans="1:2" x14ac:dyDescent="0.35">
      <c r="A7344" s="32"/>
      <c r="B7344" s="32"/>
    </row>
    <row r="7345" spans="1:2" x14ac:dyDescent="0.35">
      <c r="A7345" s="32"/>
      <c r="B7345" s="32"/>
    </row>
    <row r="7346" spans="1:2" x14ac:dyDescent="0.35">
      <c r="A7346" s="32"/>
      <c r="B7346" s="32"/>
    </row>
    <row r="7347" spans="1:2" x14ac:dyDescent="0.35">
      <c r="A7347" s="32"/>
      <c r="B7347" s="32"/>
    </row>
    <row r="7348" spans="1:2" x14ac:dyDescent="0.35">
      <c r="A7348" s="32"/>
      <c r="B7348" s="32"/>
    </row>
    <row r="7349" spans="1:2" x14ac:dyDescent="0.35">
      <c r="A7349" s="32"/>
      <c r="B7349" s="32"/>
    </row>
    <row r="7350" spans="1:2" x14ac:dyDescent="0.35">
      <c r="A7350" s="32"/>
      <c r="B7350" s="32"/>
    </row>
    <row r="7351" spans="1:2" x14ac:dyDescent="0.35">
      <c r="A7351" s="32"/>
      <c r="B7351" s="32"/>
    </row>
    <row r="7352" spans="1:2" x14ac:dyDescent="0.35">
      <c r="A7352" s="32"/>
      <c r="B7352" s="32"/>
    </row>
    <row r="7353" spans="1:2" x14ac:dyDescent="0.35">
      <c r="A7353" s="32"/>
      <c r="B7353" s="32"/>
    </row>
    <row r="7354" spans="1:2" x14ac:dyDescent="0.35">
      <c r="A7354" s="32"/>
      <c r="B7354" s="32"/>
    </row>
    <row r="7355" spans="1:2" x14ac:dyDescent="0.35">
      <c r="A7355" s="32"/>
      <c r="B7355" s="32"/>
    </row>
    <row r="7356" spans="1:2" x14ac:dyDescent="0.35">
      <c r="A7356" s="32"/>
      <c r="B7356" s="32"/>
    </row>
    <row r="7357" spans="1:2" x14ac:dyDescent="0.35">
      <c r="A7357" s="32"/>
      <c r="B7357" s="32"/>
    </row>
    <row r="7358" spans="1:2" x14ac:dyDescent="0.35">
      <c r="A7358" s="32"/>
      <c r="B7358" s="32"/>
    </row>
    <row r="7359" spans="1:2" x14ac:dyDescent="0.35">
      <c r="A7359" s="32"/>
      <c r="B7359" s="32"/>
    </row>
    <row r="7360" spans="1:2" x14ac:dyDescent="0.35">
      <c r="A7360" s="32"/>
      <c r="B7360" s="32"/>
    </row>
    <row r="7361" spans="1:2" x14ac:dyDescent="0.35">
      <c r="A7361" s="32"/>
      <c r="B7361" s="32"/>
    </row>
    <row r="7362" spans="1:2" x14ac:dyDescent="0.35">
      <c r="A7362" s="32"/>
      <c r="B7362" s="32"/>
    </row>
    <row r="7363" spans="1:2" x14ac:dyDescent="0.35">
      <c r="A7363" s="32"/>
      <c r="B7363" s="32"/>
    </row>
    <row r="7364" spans="1:2" x14ac:dyDescent="0.35">
      <c r="A7364" s="32"/>
      <c r="B7364" s="32"/>
    </row>
    <row r="7365" spans="1:2" x14ac:dyDescent="0.35">
      <c r="A7365" s="32"/>
      <c r="B7365" s="32"/>
    </row>
    <row r="7366" spans="1:2" x14ac:dyDescent="0.35">
      <c r="A7366" s="32"/>
      <c r="B7366" s="32"/>
    </row>
    <row r="7367" spans="1:2" x14ac:dyDescent="0.35">
      <c r="A7367" s="32"/>
      <c r="B7367" s="32"/>
    </row>
    <row r="7368" spans="1:2" x14ac:dyDescent="0.35">
      <c r="A7368" s="32"/>
      <c r="B7368" s="32"/>
    </row>
    <row r="7369" spans="1:2" x14ac:dyDescent="0.35">
      <c r="A7369" s="32"/>
      <c r="B7369" s="32"/>
    </row>
    <row r="7370" spans="1:2" x14ac:dyDescent="0.35">
      <c r="A7370" s="32"/>
      <c r="B7370" s="32"/>
    </row>
    <row r="7371" spans="1:2" x14ac:dyDescent="0.35">
      <c r="A7371" s="32"/>
      <c r="B7371" s="32"/>
    </row>
    <row r="7372" spans="1:2" x14ac:dyDescent="0.35">
      <c r="A7372" s="32"/>
      <c r="B7372" s="32"/>
    </row>
    <row r="7373" spans="1:2" x14ac:dyDescent="0.35">
      <c r="A7373" s="32"/>
      <c r="B7373" s="32"/>
    </row>
    <row r="7374" spans="1:2" x14ac:dyDescent="0.35">
      <c r="A7374" s="32"/>
      <c r="B7374" s="32"/>
    </row>
    <row r="7375" spans="1:2" x14ac:dyDescent="0.35">
      <c r="A7375" s="32"/>
      <c r="B7375" s="32"/>
    </row>
    <row r="7376" spans="1:2" x14ac:dyDescent="0.35">
      <c r="A7376" s="32"/>
      <c r="B7376" s="32"/>
    </row>
    <row r="7377" spans="1:2" x14ac:dyDescent="0.35">
      <c r="A7377" s="32"/>
      <c r="B7377" s="32"/>
    </row>
    <row r="7378" spans="1:2" x14ac:dyDescent="0.35">
      <c r="A7378" s="32"/>
      <c r="B7378" s="32"/>
    </row>
    <row r="7379" spans="1:2" x14ac:dyDescent="0.35">
      <c r="A7379" s="32"/>
      <c r="B7379" s="32"/>
    </row>
    <row r="7380" spans="1:2" x14ac:dyDescent="0.35">
      <c r="A7380" s="32"/>
      <c r="B7380" s="32"/>
    </row>
    <row r="7381" spans="1:2" x14ac:dyDescent="0.35">
      <c r="A7381" s="32"/>
      <c r="B7381" s="32"/>
    </row>
    <row r="7382" spans="1:2" x14ac:dyDescent="0.35">
      <c r="A7382" s="32"/>
      <c r="B7382" s="32"/>
    </row>
    <row r="7383" spans="1:2" x14ac:dyDescent="0.35">
      <c r="A7383" s="32"/>
      <c r="B7383" s="32"/>
    </row>
    <row r="7384" spans="1:2" x14ac:dyDescent="0.35">
      <c r="A7384" s="32"/>
      <c r="B7384" s="32"/>
    </row>
    <row r="7385" spans="1:2" x14ac:dyDescent="0.35">
      <c r="A7385" s="32"/>
      <c r="B7385" s="32"/>
    </row>
    <row r="7386" spans="1:2" x14ac:dyDescent="0.35">
      <c r="A7386" s="32"/>
      <c r="B7386" s="32"/>
    </row>
    <row r="7387" spans="1:2" x14ac:dyDescent="0.35">
      <c r="A7387" s="32"/>
      <c r="B7387" s="32"/>
    </row>
    <row r="7388" spans="1:2" x14ac:dyDescent="0.35">
      <c r="A7388" s="32"/>
      <c r="B7388" s="32"/>
    </row>
    <row r="7389" spans="1:2" x14ac:dyDescent="0.35">
      <c r="A7389" s="32"/>
      <c r="B7389" s="32"/>
    </row>
    <row r="7390" spans="1:2" x14ac:dyDescent="0.35">
      <c r="A7390" s="32"/>
      <c r="B7390" s="32"/>
    </row>
    <row r="7391" spans="1:2" x14ac:dyDescent="0.35">
      <c r="A7391" s="32"/>
      <c r="B7391" s="32"/>
    </row>
    <row r="7392" spans="1:2" x14ac:dyDescent="0.35">
      <c r="A7392" s="32"/>
      <c r="B7392" s="32"/>
    </row>
    <row r="7393" spans="1:2" x14ac:dyDescent="0.35">
      <c r="A7393" s="32"/>
      <c r="B7393" s="32"/>
    </row>
    <row r="7394" spans="1:2" x14ac:dyDescent="0.35">
      <c r="A7394" s="32"/>
      <c r="B7394" s="32"/>
    </row>
    <row r="7395" spans="1:2" x14ac:dyDescent="0.35">
      <c r="A7395" s="32"/>
      <c r="B7395" s="32"/>
    </row>
    <row r="7396" spans="1:2" x14ac:dyDescent="0.35">
      <c r="A7396" s="32"/>
      <c r="B7396" s="32"/>
    </row>
    <row r="7397" spans="1:2" x14ac:dyDescent="0.35">
      <c r="A7397" s="32"/>
      <c r="B7397" s="32"/>
    </row>
    <row r="7398" spans="1:2" x14ac:dyDescent="0.35">
      <c r="A7398" s="32"/>
      <c r="B7398" s="32"/>
    </row>
    <row r="7399" spans="1:2" x14ac:dyDescent="0.35">
      <c r="A7399" s="32"/>
      <c r="B7399" s="32"/>
    </row>
    <row r="7400" spans="1:2" x14ac:dyDescent="0.35">
      <c r="A7400" s="32"/>
      <c r="B7400" s="32"/>
    </row>
    <row r="7401" spans="1:2" x14ac:dyDescent="0.35">
      <c r="A7401" s="32"/>
      <c r="B7401" s="32"/>
    </row>
    <row r="7402" spans="1:2" x14ac:dyDescent="0.35">
      <c r="A7402" s="32"/>
      <c r="B7402" s="32"/>
    </row>
    <row r="7403" spans="1:2" x14ac:dyDescent="0.35">
      <c r="A7403" s="32"/>
      <c r="B7403" s="32"/>
    </row>
    <row r="7404" spans="1:2" x14ac:dyDescent="0.35">
      <c r="A7404" s="32"/>
      <c r="B7404" s="32"/>
    </row>
    <row r="7405" spans="1:2" x14ac:dyDescent="0.35">
      <c r="A7405" s="32"/>
      <c r="B7405" s="32"/>
    </row>
    <row r="7406" spans="1:2" x14ac:dyDescent="0.35">
      <c r="A7406" s="32"/>
      <c r="B7406" s="32"/>
    </row>
    <row r="7407" spans="1:2" x14ac:dyDescent="0.35">
      <c r="A7407" s="32"/>
      <c r="B7407" s="32"/>
    </row>
    <row r="7408" spans="1:2" x14ac:dyDescent="0.35">
      <c r="A7408" s="32"/>
      <c r="B7408" s="32"/>
    </row>
    <row r="7409" spans="1:2" x14ac:dyDescent="0.35">
      <c r="A7409" s="32"/>
      <c r="B7409" s="32"/>
    </row>
    <row r="7410" spans="1:2" x14ac:dyDescent="0.35">
      <c r="A7410" s="32"/>
      <c r="B7410" s="32"/>
    </row>
    <row r="7411" spans="1:2" x14ac:dyDescent="0.35">
      <c r="A7411" s="32"/>
      <c r="B7411" s="32"/>
    </row>
    <row r="7412" spans="1:2" x14ac:dyDescent="0.35">
      <c r="A7412" s="32"/>
      <c r="B7412" s="32"/>
    </row>
    <row r="7413" spans="1:2" x14ac:dyDescent="0.35">
      <c r="A7413" s="32"/>
      <c r="B7413" s="32"/>
    </row>
    <row r="7414" spans="1:2" x14ac:dyDescent="0.35">
      <c r="A7414" s="32"/>
      <c r="B7414" s="32"/>
    </row>
    <row r="7415" spans="1:2" x14ac:dyDescent="0.35">
      <c r="A7415" s="32"/>
      <c r="B7415" s="32"/>
    </row>
    <row r="7416" spans="1:2" x14ac:dyDescent="0.35">
      <c r="A7416" s="32"/>
      <c r="B7416" s="32"/>
    </row>
    <row r="7417" spans="1:2" x14ac:dyDescent="0.35">
      <c r="A7417" s="32"/>
      <c r="B7417" s="32"/>
    </row>
    <row r="7418" spans="1:2" x14ac:dyDescent="0.35">
      <c r="A7418" s="32"/>
      <c r="B7418" s="32"/>
    </row>
    <row r="7419" spans="1:2" x14ac:dyDescent="0.35">
      <c r="A7419" s="32"/>
      <c r="B7419" s="32"/>
    </row>
    <row r="7420" spans="1:2" x14ac:dyDescent="0.35">
      <c r="A7420" s="32"/>
      <c r="B7420" s="32"/>
    </row>
    <row r="7421" spans="1:2" x14ac:dyDescent="0.35">
      <c r="A7421" s="32"/>
      <c r="B7421" s="32"/>
    </row>
    <row r="7422" spans="1:2" x14ac:dyDescent="0.35">
      <c r="A7422" s="32"/>
      <c r="B7422" s="32"/>
    </row>
    <row r="7423" spans="1:2" x14ac:dyDescent="0.35">
      <c r="A7423" s="32"/>
      <c r="B7423" s="32"/>
    </row>
    <row r="7424" spans="1:2" x14ac:dyDescent="0.35">
      <c r="A7424" s="32"/>
      <c r="B7424" s="32"/>
    </row>
    <row r="7425" spans="1:2" x14ac:dyDescent="0.35">
      <c r="A7425" s="32"/>
      <c r="B7425" s="32"/>
    </row>
    <row r="7426" spans="1:2" x14ac:dyDescent="0.35">
      <c r="A7426" s="32"/>
      <c r="B7426" s="32"/>
    </row>
    <row r="7427" spans="1:2" x14ac:dyDescent="0.35">
      <c r="A7427" s="32"/>
      <c r="B7427" s="32"/>
    </row>
    <row r="7428" spans="1:2" x14ac:dyDescent="0.35">
      <c r="A7428" s="32"/>
      <c r="B7428" s="32"/>
    </row>
    <row r="7429" spans="1:2" x14ac:dyDescent="0.35">
      <c r="A7429" s="32"/>
      <c r="B7429" s="32"/>
    </row>
    <row r="7430" spans="1:2" x14ac:dyDescent="0.35">
      <c r="A7430" s="32"/>
      <c r="B7430" s="32"/>
    </row>
    <row r="7431" spans="1:2" x14ac:dyDescent="0.35">
      <c r="A7431" s="32"/>
      <c r="B7431" s="32"/>
    </row>
    <row r="7432" spans="1:2" x14ac:dyDescent="0.35">
      <c r="A7432" s="32"/>
      <c r="B7432" s="32"/>
    </row>
    <row r="7433" spans="1:2" x14ac:dyDescent="0.35">
      <c r="A7433" s="32"/>
      <c r="B7433" s="32"/>
    </row>
    <row r="7434" spans="1:2" x14ac:dyDescent="0.35">
      <c r="A7434" s="32"/>
      <c r="B7434" s="32"/>
    </row>
    <row r="7435" spans="1:2" x14ac:dyDescent="0.35">
      <c r="A7435" s="32"/>
      <c r="B7435" s="32"/>
    </row>
    <row r="7436" spans="1:2" x14ac:dyDescent="0.35">
      <c r="A7436" s="32"/>
      <c r="B7436" s="32"/>
    </row>
    <row r="7437" spans="1:2" x14ac:dyDescent="0.35">
      <c r="A7437" s="32"/>
      <c r="B7437" s="32"/>
    </row>
    <row r="7438" spans="1:2" x14ac:dyDescent="0.35">
      <c r="A7438" s="32"/>
      <c r="B7438" s="32"/>
    </row>
    <row r="7439" spans="1:2" x14ac:dyDescent="0.35">
      <c r="A7439" s="32"/>
      <c r="B7439" s="32"/>
    </row>
    <row r="7440" spans="1:2" x14ac:dyDescent="0.35">
      <c r="A7440" s="32"/>
      <c r="B7440" s="32"/>
    </row>
    <row r="7441" spans="1:2" x14ac:dyDescent="0.35">
      <c r="A7441" s="32"/>
      <c r="B7441" s="32"/>
    </row>
    <row r="7442" spans="1:2" x14ac:dyDescent="0.35">
      <c r="A7442" s="32"/>
      <c r="B7442" s="32"/>
    </row>
    <row r="7443" spans="1:2" x14ac:dyDescent="0.35">
      <c r="A7443" s="32"/>
      <c r="B7443" s="32"/>
    </row>
    <row r="7444" spans="1:2" x14ac:dyDescent="0.35">
      <c r="A7444" s="32"/>
      <c r="B7444" s="32"/>
    </row>
    <row r="7445" spans="1:2" x14ac:dyDescent="0.35">
      <c r="A7445" s="32"/>
      <c r="B7445" s="32"/>
    </row>
    <row r="7446" spans="1:2" x14ac:dyDescent="0.35">
      <c r="A7446" s="32"/>
      <c r="B7446" s="32"/>
    </row>
    <row r="7447" spans="1:2" x14ac:dyDescent="0.35">
      <c r="A7447" s="32"/>
      <c r="B7447" s="32"/>
    </row>
    <row r="7448" spans="1:2" x14ac:dyDescent="0.35">
      <c r="A7448" s="32"/>
      <c r="B7448" s="32"/>
    </row>
    <row r="7449" spans="1:2" x14ac:dyDescent="0.35">
      <c r="A7449" s="32"/>
      <c r="B7449" s="32"/>
    </row>
    <row r="7450" spans="1:2" x14ac:dyDescent="0.35">
      <c r="A7450" s="32"/>
      <c r="B7450" s="32"/>
    </row>
    <row r="7451" spans="1:2" x14ac:dyDescent="0.35">
      <c r="A7451" s="32"/>
      <c r="B7451" s="32"/>
    </row>
    <row r="7452" spans="1:2" x14ac:dyDescent="0.35">
      <c r="A7452" s="32"/>
      <c r="B7452" s="32"/>
    </row>
    <row r="7453" spans="1:2" x14ac:dyDescent="0.35">
      <c r="A7453" s="32"/>
      <c r="B7453" s="32"/>
    </row>
    <row r="7454" spans="1:2" x14ac:dyDescent="0.35">
      <c r="A7454" s="32"/>
      <c r="B7454" s="32"/>
    </row>
    <row r="7455" spans="1:2" x14ac:dyDescent="0.35">
      <c r="A7455" s="32"/>
      <c r="B7455" s="32"/>
    </row>
    <row r="7456" spans="1:2" x14ac:dyDescent="0.35">
      <c r="A7456" s="32"/>
      <c r="B7456" s="32"/>
    </row>
    <row r="7457" spans="1:2" x14ac:dyDescent="0.35">
      <c r="A7457" s="32"/>
      <c r="B7457" s="32"/>
    </row>
    <row r="7458" spans="1:2" x14ac:dyDescent="0.35">
      <c r="A7458" s="32"/>
      <c r="B7458" s="32"/>
    </row>
    <row r="7459" spans="1:2" x14ac:dyDescent="0.35">
      <c r="A7459" s="32"/>
      <c r="B7459" s="32"/>
    </row>
    <row r="7460" spans="1:2" x14ac:dyDescent="0.35">
      <c r="A7460" s="32"/>
      <c r="B7460" s="32"/>
    </row>
    <row r="7461" spans="1:2" x14ac:dyDescent="0.35">
      <c r="A7461" s="32"/>
      <c r="B7461" s="32"/>
    </row>
    <row r="7462" spans="1:2" x14ac:dyDescent="0.35">
      <c r="A7462" s="32"/>
      <c r="B7462" s="32"/>
    </row>
    <row r="7463" spans="1:2" x14ac:dyDescent="0.35">
      <c r="A7463" s="32"/>
      <c r="B7463" s="32"/>
    </row>
    <row r="7464" spans="1:2" x14ac:dyDescent="0.35">
      <c r="A7464" s="32"/>
      <c r="B7464" s="32"/>
    </row>
    <row r="7465" spans="1:2" x14ac:dyDescent="0.35">
      <c r="A7465" s="32"/>
      <c r="B7465" s="32"/>
    </row>
    <row r="7466" spans="1:2" x14ac:dyDescent="0.35">
      <c r="A7466" s="32"/>
      <c r="B7466" s="32"/>
    </row>
    <row r="7467" spans="1:2" x14ac:dyDescent="0.35">
      <c r="A7467" s="32"/>
      <c r="B7467" s="32"/>
    </row>
    <row r="7468" spans="1:2" x14ac:dyDescent="0.35">
      <c r="A7468" s="32"/>
      <c r="B7468" s="32"/>
    </row>
    <row r="7469" spans="1:2" x14ac:dyDescent="0.35">
      <c r="A7469" s="32"/>
      <c r="B7469" s="32"/>
    </row>
    <row r="7470" spans="1:2" x14ac:dyDescent="0.35">
      <c r="A7470" s="32"/>
      <c r="B7470" s="32"/>
    </row>
    <row r="7471" spans="1:2" x14ac:dyDescent="0.35">
      <c r="A7471" s="32"/>
      <c r="B7471" s="32"/>
    </row>
    <row r="7472" spans="1:2" x14ac:dyDescent="0.35">
      <c r="A7472" s="32"/>
      <c r="B7472" s="32"/>
    </row>
    <row r="7473" spans="1:2" x14ac:dyDescent="0.35">
      <c r="A7473" s="32"/>
      <c r="B7473" s="32"/>
    </row>
    <row r="7474" spans="1:2" x14ac:dyDescent="0.35">
      <c r="A7474" s="32"/>
      <c r="B7474" s="32"/>
    </row>
    <row r="7475" spans="1:2" x14ac:dyDescent="0.35">
      <c r="A7475" s="32"/>
      <c r="B7475" s="32"/>
    </row>
    <row r="7476" spans="1:2" x14ac:dyDescent="0.35">
      <c r="A7476" s="32"/>
      <c r="B7476" s="32"/>
    </row>
    <row r="7477" spans="1:2" x14ac:dyDescent="0.35">
      <c r="A7477" s="32"/>
      <c r="B7477" s="32"/>
    </row>
    <row r="7478" spans="1:2" x14ac:dyDescent="0.35">
      <c r="A7478" s="32"/>
      <c r="B7478" s="32"/>
    </row>
    <row r="7479" spans="1:2" x14ac:dyDescent="0.35">
      <c r="A7479" s="32"/>
      <c r="B7479" s="32"/>
    </row>
    <row r="7480" spans="1:2" x14ac:dyDescent="0.35">
      <c r="A7480" s="32"/>
      <c r="B7480" s="32"/>
    </row>
    <row r="7481" spans="1:2" x14ac:dyDescent="0.35">
      <c r="A7481" s="32"/>
      <c r="B7481" s="32"/>
    </row>
    <row r="7482" spans="1:2" x14ac:dyDescent="0.35">
      <c r="A7482" s="32"/>
      <c r="B7482" s="32"/>
    </row>
    <row r="7483" spans="1:2" x14ac:dyDescent="0.35">
      <c r="A7483" s="32"/>
      <c r="B7483" s="32"/>
    </row>
    <row r="7484" spans="1:2" x14ac:dyDescent="0.35">
      <c r="A7484" s="32"/>
      <c r="B7484" s="32"/>
    </row>
    <row r="7485" spans="1:2" x14ac:dyDescent="0.35">
      <c r="A7485" s="32"/>
      <c r="B7485" s="32"/>
    </row>
    <row r="7486" spans="1:2" x14ac:dyDescent="0.35">
      <c r="A7486" s="32"/>
      <c r="B7486" s="32"/>
    </row>
    <row r="7487" spans="1:2" x14ac:dyDescent="0.35">
      <c r="A7487" s="32"/>
      <c r="B7487" s="32"/>
    </row>
    <row r="7488" spans="1:2" x14ac:dyDescent="0.35">
      <c r="A7488" s="32"/>
      <c r="B7488" s="32"/>
    </row>
    <row r="7489" spans="1:2" x14ac:dyDescent="0.35">
      <c r="A7489" s="32"/>
      <c r="B7489" s="32"/>
    </row>
    <row r="7490" spans="1:2" x14ac:dyDescent="0.35">
      <c r="A7490" s="32"/>
      <c r="B7490" s="32"/>
    </row>
    <row r="7491" spans="1:2" x14ac:dyDescent="0.35">
      <c r="A7491" s="32"/>
      <c r="B7491" s="32"/>
    </row>
    <row r="7492" spans="1:2" x14ac:dyDescent="0.35">
      <c r="A7492" s="32"/>
      <c r="B7492" s="32"/>
    </row>
    <row r="7493" spans="1:2" x14ac:dyDescent="0.35">
      <c r="A7493" s="32"/>
      <c r="B7493" s="32"/>
    </row>
    <row r="7494" spans="1:2" x14ac:dyDescent="0.35">
      <c r="A7494" s="32"/>
      <c r="B7494" s="32"/>
    </row>
    <row r="7495" spans="1:2" x14ac:dyDescent="0.35">
      <c r="A7495" s="32"/>
      <c r="B7495" s="32"/>
    </row>
    <row r="7496" spans="1:2" x14ac:dyDescent="0.35">
      <c r="A7496" s="32"/>
      <c r="B7496" s="32"/>
    </row>
    <row r="7497" spans="1:2" x14ac:dyDescent="0.35">
      <c r="A7497" s="32"/>
      <c r="B7497" s="32"/>
    </row>
    <row r="7498" spans="1:2" x14ac:dyDescent="0.35">
      <c r="A7498" s="32"/>
      <c r="B7498" s="32"/>
    </row>
    <row r="7499" spans="1:2" x14ac:dyDescent="0.35">
      <c r="A7499" s="32"/>
      <c r="B7499" s="32"/>
    </row>
    <row r="7500" spans="1:2" x14ac:dyDescent="0.35">
      <c r="A7500" s="32"/>
      <c r="B7500" s="32"/>
    </row>
    <row r="7501" spans="1:2" x14ac:dyDescent="0.35">
      <c r="A7501" s="32"/>
      <c r="B7501" s="32"/>
    </row>
    <row r="7502" spans="1:2" x14ac:dyDescent="0.35">
      <c r="A7502" s="32"/>
      <c r="B7502" s="32"/>
    </row>
    <row r="7503" spans="1:2" x14ac:dyDescent="0.35">
      <c r="A7503" s="32"/>
      <c r="B7503" s="32"/>
    </row>
    <row r="7504" spans="1:2" x14ac:dyDescent="0.35">
      <c r="A7504" s="32"/>
      <c r="B7504" s="32"/>
    </row>
    <row r="7505" spans="1:2" x14ac:dyDescent="0.35">
      <c r="A7505" s="32"/>
      <c r="B7505" s="32"/>
    </row>
    <row r="7506" spans="1:2" x14ac:dyDescent="0.35">
      <c r="A7506" s="32"/>
      <c r="B7506" s="32"/>
    </row>
    <row r="7507" spans="1:2" x14ac:dyDescent="0.35">
      <c r="A7507" s="32"/>
      <c r="B7507" s="32"/>
    </row>
    <row r="7508" spans="1:2" x14ac:dyDescent="0.35">
      <c r="A7508" s="32"/>
      <c r="B7508" s="32"/>
    </row>
    <row r="7509" spans="1:2" x14ac:dyDescent="0.35">
      <c r="A7509" s="32"/>
      <c r="B7509" s="32"/>
    </row>
    <row r="7510" spans="1:2" x14ac:dyDescent="0.35">
      <c r="A7510" s="32"/>
      <c r="B7510" s="32"/>
    </row>
    <row r="7511" spans="1:2" x14ac:dyDescent="0.35">
      <c r="A7511" s="32"/>
      <c r="B7511" s="32"/>
    </row>
    <row r="7512" spans="1:2" x14ac:dyDescent="0.35">
      <c r="A7512" s="32"/>
      <c r="B7512" s="32"/>
    </row>
    <row r="7513" spans="1:2" x14ac:dyDescent="0.35">
      <c r="A7513" s="32"/>
      <c r="B7513" s="32"/>
    </row>
    <row r="7514" spans="1:2" x14ac:dyDescent="0.35">
      <c r="A7514" s="32"/>
      <c r="B7514" s="32"/>
    </row>
    <row r="7515" spans="1:2" x14ac:dyDescent="0.35">
      <c r="A7515" s="32"/>
      <c r="B7515" s="32"/>
    </row>
    <row r="7516" spans="1:2" x14ac:dyDescent="0.35">
      <c r="A7516" s="32"/>
      <c r="B7516" s="32"/>
    </row>
    <row r="7517" spans="1:2" x14ac:dyDescent="0.35">
      <c r="A7517" s="32"/>
      <c r="B7517" s="32"/>
    </row>
    <row r="7518" spans="1:2" x14ac:dyDescent="0.35">
      <c r="A7518" s="32"/>
      <c r="B7518" s="32"/>
    </row>
    <row r="7519" spans="1:2" x14ac:dyDescent="0.35">
      <c r="A7519" s="32"/>
      <c r="B7519" s="32"/>
    </row>
    <row r="7520" spans="1:2" x14ac:dyDescent="0.35">
      <c r="A7520" s="32"/>
      <c r="B7520" s="32"/>
    </row>
    <row r="7521" spans="1:2" x14ac:dyDescent="0.35">
      <c r="A7521" s="32"/>
      <c r="B7521" s="32"/>
    </row>
    <row r="7522" spans="1:2" x14ac:dyDescent="0.35">
      <c r="A7522" s="32"/>
      <c r="B7522" s="32"/>
    </row>
    <row r="7523" spans="1:2" x14ac:dyDescent="0.35">
      <c r="A7523" s="32"/>
      <c r="B7523" s="32"/>
    </row>
    <row r="7524" spans="1:2" x14ac:dyDescent="0.35">
      <c r="A7524" s="32"/>
      <c r="B7524" s="32"/>
    </row>
    <row r="7525" spans="1:2" x14ac:dyDescent="0.35">
      <c r="A7525" s="32"/>
      <c r="B7525" s="32"/>
    </row>
    <row r="7526" spans="1:2" x14ac:dyDescent="0.35">
      <c r="A7526" s="32"/>
      <c r="B7526" s="32"/>
    </row>
    <row r="7527" spans="1:2" x14ac:dyDescent="0.35">
      <c r="A7527" s="32"/>
      <c r="B7527" s="32"/>
    </row>
    <row r="7528" spans="1:2" x14ac:dyDescent="0.35">
      <c r="A7528" s="32"/>
      <c r="B7528" s="32"/>
    </row>
    <row r="7529" spans="1:2" x14ac:dyDescent="0.35">
      <c r="A7529" s="32"/>
      <c r="B7529" s="32"/>
    </row>
    <row r="7530" spans="1:2" x14ac:dyDescent="0.35">
      <c r="A7530" s="32"/>
      <c r="B7530" s="32"/>
    </row>
    <row r="7531" spans="1:2" x14ac:dyDescent="0.35">
      <c r="A7531" s="32"/>
      <c r="B7531" s="32"/>
    </row>
    <row r="7532" spans="1:2" x14ac:dyDescent="0.35">
      <c r="A7532" s="32"/>
      <c r="B7532" s="32"/>
    </row>
    <row r="7533" spans="1:2" x14ac:dyDescent="0.35">
      <c r="A7533" s="32"/>
      <c r="B7533" s="32"/>
    </row>
    <row r="7534" spans="1:2" x14ac:dyDescent="0.35">
      <c r="A7534" s="32"/>
      <c r="B7534" s="32"/>
    </row>
    <row r="7535" spans="1:2" x14ac:dyDescent="0.35">
      <c r="A7535" s="32"/>
      <c r="B7535" s="32"/>
    </row>
    <row r="7536" spans="1:2" x14ac:dyDescent="0.35">
      <c r="A7536" s="32"/>
      <c r="B7536" s="32"/>
    </row>
    <row r="7537" spans="1:2" x14ac:dyDescent="0.35">
      <c r="A7537" s="32"/>
      <c r="B7537" s="32"/>
    </row>
    <row r="7538" spans="1:2" x14ac:dyDescent="0.35">
      <c r="A7538" s="32"/>
      <c r="B7538" s="32"/>
    </row>
    <row r="7539" spans="1:2" x14ac:dyDescent="0.35">
      <c r="A7539" s="32"/>
      <c r="B7539" s="32"/>
    </row>
    <row r="7540" spans="1:2" x14ac:dyDescent="0.35">
      <c r="A7540" s="32"/>
      <c r="B7540" s="32"/>
    </row>
    <row r="7541" spans="1:2" x14ac:dyDescent="0.35">
      <c r="A7541" s="32"/>
      <c r="B7541" s="32"/>
    </row>
    <row r="7542" spans="1:2" x14ac:dyDescent="0.35">
      <c r="A7542" s="32"/>
      <c r="B7542" s="32"/>
    </row>
    <row r="7543" spans="1:2" x14ac:dyDescent="0.35">
      <c r="A7543" s="32"/>
      <c r="B7543" s="32"/>
    </row>
    <row r="7544" spans="1:2" x14ac:dyDescent="0.35">
      <c r="A7544" s="32"/>
      <c r="B7544" s="32"/>
    </row>
    <row r="7545" spans="1:2" x14ac:dyDescent="0.35">
      <c r="A7545" s="32"/>
      <c r="B7545" s="32"/>
    </row>
    <row r="7546" spans="1:2" x14ac:dyDescent="0.35">
      <c r="A7546" s="32"/>
      <c r="B7546" s="32"/>
    </row>
    <row r="7547" spans="1:2" x14ac:dyDescent="0.35">
      <c r="A7547" s="32"/>
      <c r="B7547" s="32"/>
    </row>
    <row r="7548" spans="1:2" x14ac:dyDescent="0.35">
      <c r="A7548" s="32"/>
      <c r="B7548" s="32"/>
    </row>
    <row r="7549" spans="1:2" x14ac:dyDescent="0.35">
      <c r="A7549" s="32"/>
      <c r="B7549" s="32"/>
    </row>
    <row r="7550" spans="1:2" x14ac:dyDescent="0.35">
      <c r="A7550" s="32"/>
      <c r="B7550" s="32"/>
    </row>
    <row r="7551" spans="1:2" x14ac:dyDescent="0.35">
      <c r="A7551" s="32"/>
      <c r="B7551" s="32"/>
    </row>
    <row r="7552" spans="1:2" x14ac:dyDescent="0.35">
      <c r="A7552" s="32"/>
      <c r="B7552" s="32"/>
    </row>
    <row r="7553" spans="1:2" x14ac:dyDescent="0.35">
      <c r="A7553" s="32"/>
      <c r="B7553" s="32"/>
    </row>
    <row r="7554" spans="1:2" x14ac:dyDescent="0.35">
      <c r="A7554" s="32"/>
      <c r="B7554" s="32"/>
    </row>
    <row r="7555" spans="1:2" x14ac:dyDescent="0.35">
      <c r="A7555" s="32"/>
      <c r="B7555" s="32"/>
    </row>
    <row r="7556" spans="1:2" x14ac:dyDescent="0.35">
      <c r="A7556" s="32"/>
      <c r="B7556" s="32"/>
    </row>
    <row r="7557" spans="1:2" x14ac:dyDescent="0.35">
      <c r="A7557" s="32"/>
      <c r="B7557" s="32"/>
    </row>
    <row r="7558" spans="1:2" x14ac:dyDescent="0.35">
      <c r="A7558" s="32"/>
      <c r="B7558" s="32"/>
    </row>
    <row r="7559" spans="1:2" x14ac:dyDescent="0.35">
      <c r="A7559" s="32"/>
      <c r="B7559" s="32"/>
    </row>
    <row r="7560" spans="1:2" x14ac:dyDescent="0.35">
      <c r="A7560" s="32"/>
      <c r="B7560" s="32"/>
    </row>
    <row r="7561" spans="1:2" x14ac:dyDescent="0.35">
      <c r="A7561" s="32"/>
      <c r="B7561" s="32"/>
    </row>
    <row r="7562" spans="1:2" x14ac:dyDescent="0.35">
      <c r="A7562" s="32"/>
      <c r="B7562" s="32"/>
    </row>
    <row r="7563" spans="1:2" x14ac:dyDescent="0.35">
      <c r="A7563" s="32"/>
      <c r="B7563" s="32"/>
    </row>
    <row r="7564" spans="1:2" x14ac:dyDescent="0.35">
      <c r="A7564" s="32"/>
      <c r="B7564" s="32"/>
    </row>
    <row r="7565" spans="1:2" x14ac:dyDescent="0.35">
      <c r="A7565" s="32"/>
      <c r="B7565" s="32"/>
    </row>
    <row r="7566" spans="1:2" x14ac:dyDescent="0.35">
      <c r="A7566" s="32"/>
      <c r="B7566" s="32"/>
    </row>
    <row r="7567" spans="1:2" x14ac:dyDescent="0.35">
      <c r="A7567" s="32"/>
      <c r="B7567" s="32"/>
    </row>
    <row r="7568" spans="1:2" x14ac:dyDescent="0.35">
      <c r="A7568" s="32"/>
      <c r="B7568" s="32"/>
    </row>
    <row r="7569" spans="1:2" x14ac:dyDescent="0.35">
      <c r="A7569" s="32"/>
      <c r="B7569" s="32"/>
    </row>
    <row r="7570" spans="1:2" x14ac:dyDescent="0.35">
      <c r="A7570" s="32"/>
      <c r="B7570" s="32"/>
    </row>
    <row r="7571" spans="1:2" x14ac:dyDescent="0.35">
      <c r="A7571" s="32"/>
      <c r="B7571" s="32"/>
    </row>
    <row r="7572" spans="1:2" x14ac:dyDescent="0.35">
      <c r="A7572" s="32"/>
      <c r="B7572" s="32"/>
    </row>
    <row r="7573" spans="1:2" x14ac:dyDescent="0.35">
      <c r="A7573" s="32"/>
      <c r="B7573" s="32"/>
    </row>
    <row r="7574" spans="1:2" x14ac:dyDescent="0.35">
      <c r="A7574" s="32"/>
      <c r="B7574" s="32"/>
    </row>
    <row r="7575" spans="1:2" x14ac:dyDescent="0.35">
      <c r="A7575" s="32"/>
      <c r="B7575" s="32"/>
    </row>
    <row r="7576" spans="1:2" x14ac:dyDescent="0.35">
      <c r="A7576" s="32"/>
      <c r="B7576" s="32"/>
    </row>
    <row r="7577" spans="1:2" x14ac:dyDescent="0.35">
      <c r="A7577" s="32"/>
      <c r="B7577" s="32"/>
    </row>
    <row r="7578" spans="1:2" x14ac:dyDescent="0.35">
      <c r="A7578" s="32"/>
      <c r="B7578" s="32"/>
    </row>
    <row r="7579" spans="1:2" x14ac:dyDescent="0.35">
      <c r="A7579" s="32"/>
      <c r="B7579" s="32"/>
    </row>
    <row r="7580" spans="1:2" x14ac:dyDescent="0.35">
      <c r="A7580" s="32"/>
      <c r="B7580" s="32"/>
    </row>
    <row r="7581" spans="1:2" x14ac:dyDescent="0.35">
      <c r="A7581" s="32"/>
      <c r="B7581" s="32"/>
    </row>
    <row r="7582" spans="1:2" x14ac:dyDescent="0.35">
      <c r="A7582" s="32"/>
      <c r="B7582" s="32"/>
    </row>
    <row r="7583" spans="1:2" x14ac:dyDescent="0.35">
      <c r="A7583" s="32"/>
      <c r="B7583" s="32"/>
    </row>
    <row r="7584" spans="1:2" x14ac:dyDescent="0.35">
      <c r="A7584" s="32"/>
      <c r="B7584" s="32"/>
    </row>
    <row r="7585" spans="1:2" x14ac:dyDescent="0.35">
      <c r="A7585" s="32"/>
      <c r="B7585" s="32"/>
    </row>
    <row r="7586" spans="1:2" x14ac:dyDescent="0.35">
      <c r="A7586" s="32"/>
      <c r="B7586" s="32"/>
    </row>
    <row r="7587" spans="1:2" x14ac:dyDescent="0.35">
      <c r="A7587" s="32"/>
      <c r="B7587" s="32"/>
    </row>
    <row r="7588" spans="1:2" x14ac:dyDescent="0.35">
      <c r="A7588" s="32"/>
      <c r="B7588" s="32"/>
    </row>
    <row r="7589" spans="1:2" x14ac:dyDescent="0.35">
      <c r="A7589" s="32"/>
      <c r="B7589" s="32"/>
    </row>
    <row r="7590" spans="1:2" x14ac:dyDescent="0.35">
      <c r="A7590" s="32"/>
      <c r="B7590" s="32"/>
    </row>
    <row r="7591" spans="1:2" x14ac:dyDescent="0.35">
      <c r="A7591" s="32"/>
      <c r="B7591" s="32"/>
    </row>
    <row r="7592" spans="1:2" x14ac:dyDescent="0.35">
      <c r="A7592" s="32"/>
      <c r="B7592" s="32"/>
    </row>
    <row r="7593" spans="1:2" x14ac:dyDescent="0.35">
      <c r="A7593" s="32"/>
      <c r="B7593" s="32"/>
    </row>
    <row r="7594" spans="1:2" x14ac:dyDescent="0.35">
      <c r="A7594" s="32"/>
      <c r="B7594" s="32"/>
    </row>
    <row r="7595" spans="1:2" x14ac:dyDescent="0.35">
      <c r="A7595" s="32"/>
      <c r="B7595" s="32"/>
    </row>
    <row r="7596" spans="1:2" x14ac:dyDescent="0.35">
      <c r="A7596" s="32"/>
      <c r="B7596" s="32"/>
    </row>
    <row r="7597" spans="1:2" x14ac:dyDescent="0.35">
      <c r="A7597" s="32"/>
      <c r="B7597" s="32"/>
    </row>
    <row r="7598" spans="1:2" x14ac:dyDescent="0.35">
      <c r="A7598" s="32"/>
      <c r="B7598" s="32"/>
    </row>
    <row r="7599" spans="1:2" x14ac:dyDescent="0.35">
      <c r="A7599" s="32"/>
      <c r="B7599" s="32"/>
    </row>
    <row r="7600" spans="1:2" x14ac:dyDescent="0.35">
      <c r="A7600" s="32"/>
      <c r="B7600" s="32"/>
    </row>
    <row r="7601" spans="1:2" x14ac:dyDescent="0.35">
      <c r="A7601" s="32"/>
      <c r="B7601" s="32"/>
    </row>
    <row r="7602" spans="1:2" x14ac:dyDescent="0.35">
      <c r="A7602" s="32"/>
      <c r="B7602" s="32"/>
    </row>
    <row r="7603" spans="1:2" x14ac:dyDescent="0.35">
      <c r="A7603" s="32"/>
      <c r="B7603" s="32"/>
    </row>
    <row r="7604" spans="1:2" x14ac:dyDescent="0.35">
      <c r="A7604" s="32"/>
      <c r="B7604" s="32"/>
    </row>
    <row r="7605" spans="1:2" x14ac:dyDescent="0.35">
      <c r="A7605" s="32"/>
      <c r="B7605" s="32"/>
    </row>
    <row r="7606" spans="1:2" x14ac:dyDescent="0.35">
      <c r="A7606" s="32"/>
      <c r="B7606" s="32"/>
    </row>
    <row r="7607" spans="1:2" x14ac:dyDescent="0.35">
      <c r="A7607" s="32"/>
      <c r="B7607" s="32"/>
    </row>
    <row r="7608" spans="1:2" x14ac:dyDescent="0.35">
      <c r="A7608" s="32"/>
      <c r="B7608" s="32"/>
    </row>
    <row r="7609" spans="1:2" x14ac:dyDescent="0.35">
      <c r="A7609" s="32"/>
      <c r="B7609" s="32"/>
    </row>
    <row r="7610" spans="1:2" x14ac:dyDescent="0.35">
      <c r="A7610" s="32"/>
      <c r="B7610" s="32"/>
    </row>
    <row r="7611" spans="1:2" x14ac:dyDescent="0.35">
      <c r="A7611" s="32"/>
      <c r="B7611" s="32"/>
    </row>
    <row r="7612" spans="1:2" x14ac:dyDescent="0.35">
      <c r="A7612" s="32"/>
      <c r="B7612" s="32"/>
    </row>
    <row r="7613" spans="1:2" x14ac:dyDescent="0.35">
      <c r="A7613" s="32"/>
      <c r="B7613" s="32"/>
    </row>
    <row r="7614" spans="1:2" x14ac:dyDescent="0.35">
      <c r="A7614" s="32"/>
      <c r="B7614" s="32"/>
    </row>
    <row r="7615" spans="1:2" x14ac:dyDescent="0.35">
      <c r="A7615" s="32"/>
      <c r="B7615" s="32"/>
    </row>
    <row r="7616" spans="1:2" x14ac:dyDescent="0.35">
      <c r="A7616" s="32"/>
      <c r="B7616" s="32"/>
    </row>
    <row r="7617" spans="1:2" x14ac:dyDescent="0.35">
      <c r="A7617" s="32"/>
      <c r="B7617" s="32"/>
    </row>
    <row r="7618" spans="1:2" x14ac:dyDescent="0.35">
      <c r="A7618" s="32"/>
      <c r="B7618" s="32"/>
    </row>
    <row r="7619" spans="1:2" x14ac:dyDescent="0.35">
      <c r="A7619" s="32"/>
      <c r="B7619" s="32"/>
    </row>
    <row r="7620" spans="1:2" x14ac:dyDescent="0.35">
      <c r="A7620" s="32"/>
      <c r="B7620" s="32"/>
    </row>
    <row r="7621" spans="1:2" x14ac:dyDescent="0.35">
      <c r="A7621" s="32"/>
      <c r="B7621" s="32"/>
    </row>
    <row r="7622" spans="1:2" x14ac:dyDescent="0.35">
      <c r="A7622" s="32"/>
      <c r="B7622" s="32"/>
    </row>
    <row r="7623" spans="1:2" x14ac:dyDescent="0.35">
      <c r="A7623" s="32"/>
      <c r="B7623" s="32"/>
    </row>
    <row r="7624" spans="1:2" x14ac:dyDescent="0.35">
      <c r="A7624" s="32"/>
      <c r="B7624" s="32"/>
    </row>
    <row r="7625" spans="1:2" x14ac:dyDescent="0.35">
      <c r="A7625" s="32"/>
      <c r="B7625" s="32"/>
    </row>
    <row r="7626" spans="1:2" x14ac:dyDescent="0.35">
      <c r="A7626" s="32"/>
      <c r="B7626" s="32"/>
    </row>
    <row r="7627" spans="1:2" x14ac:dyDescent="0.35">
      <c r="A7627" s="32"/>
      <c r="B7627" s="32"/>
    </row>
    <row r="7628" spans="1:2" x14ac:dyDescent="0.35">
      <c r="A7628" s="32"/>
      <c r="B7628" s="32"/>
    </row>
    <row r="7629" spans="1:2" x14ac:dyDescent="0.35">
      <c r="A7629" s="32"/>
      <c r="B7629" s="32"/>
    </row>
    <row r="7630" spans="1:2" x14ac:dyDescent="0.35">
      <c r="A7630" s="32"/>
      <c r="B7630" s="32"/>
    </row>
    <row r="7631" spans="1:2" x14ac:dyDescent="0.35">
      <c r="A7631" s="32"/>
      <c r="B7631" s="32"/>
    </row>
    <row r="7632" spans="1:2" x14ac:dyDescent="0.35">
      <c r="A7632" s="32"/>
      <c r="B7632" s="32"/>
    </row>
    <row r="7633" spans="1:2" x14ac:dyDescent="0.35">
      <c r="A7633" s="32"/>
      <c r="B7633" s="32"/>
    </row>
    <row r="7634" spans="1:2" x14ac:dyDescent="0.35">
      <c r="A7634" s="32"/>
      <c r="B7634" s="32"/>
    </row>
    <row r="7635" spans="1:2" x14ac:dyDescent="0.35">
      <c r="A7635" s="32"/>
      <c r="B7635" s="32"/>
    </row>
    <row r="7636" spans="1:2" x14ac:dyDescent="0.35">
      <c r="A7636" s="32"/>
      <c r="B7636" s="32"/>
    </row>
    <row r="7637" spans="1:2" x14ac:dyDescent="0.35">
      <c r="A7637" s="32"/>
      <c r="B7637" s="32"/>
    </row>
    <row r="7638" spans="1:2" x14ac:dyDescent="0.35">
      <c r="A7638" s="32"/>
      <c r="B7638" s="32"/>
    </row>
    <row r="7639" spans="1:2" x14ac:dyDescent="0.35">
      <c r="A7639" s="32"/>
      <c r="B7639" s="32"/>
    </row>
    <row r="7640" spans="1:2" x14ac:dyDescent="0.35">
      <c r="A7640" s="32"/>
      <c r="B7640" s="32"/>
    </row>
    <row r="7641" spans="1:2" x14ac:dyDescent="0.35">
      <c r="A7641" s="32"/>
      <c r="B7641" s="32"/>
    </row>
    <row r="7642" spans="1:2" x14ac:dyDescent="0.35">
      <c r="A7642" s="32"/>
      <c r="B7642" s="32"/>
    </row>
    <row r="7643" spans="1:2" x14ac:dyDescent="0.35">
      <c r="A7643" s="32"/>
      <c r="B7643" s="32"/>
    </row>
    <row r="7644" spans="1:2" x14ac:dyDescent="0.35">
      <c r="A7644" s="32"/>
      <c r="B7644" s="32"/>
    </row>
    <row r="7645" spans="1:2" x14ac:dyDescent="0.35">
      <c r="A7645" s="32"/>
      <c r="B7645" s="32"/>
    </row>
    <row r="7646" spans="1:2" x14ac:dyDescent="0.35">
      <c r="A7646" s="32"/>
      <c r="B7646" s="32"/>
    </row>
    <row r="7647" spans="1:2" x14ac:dyDescent="0.35">
      <c r="A7647" s="32"/>
      <c r="B7647" s="32"/>
    </row>
    <row r="7648" spans="1:2" x14ac:dyDescent="0.35">
      <c r="A7648" s="32"/>
      <c r="B7648" s="32"/>
    </row>
    <row r="7649" spans="1:2" x14ac:dyDescent="0.35">
      <c r="A7649" s="32"/>
      <c r="B7649" s="32"/>
    </row>
    <row r="7650" spans="1:2" x14ac:dyDescent="0.35">
      <c r="A7650" s="32"/>
      <c r="B7650" s="32"/>
    </row>
    <row r="7651" spans="1:2" x14ac:dyDescent="0.35">
      <c r="A7651" s="32"/>
      <c r="B7651" s="32"/>
    </row>
    <row r="7652" spans="1:2" x14ac:dyDescent="0.35">
      <c r="A7652" s="32"/>
      <c r="B7652" s="32"/>
    </row>
    <row r="7653" spans="1:2" x14ac:dyDescent="0.35">
      <c r="A7653" s="32"/>
      <c r="B7653" s="32"/>
    </row>
    <row r="7654" spans="1:2" x14ac:dyDescent="0.35">
      <c r="A7654" s="32"/>
      <c r="B7654" s="32"/>
    </row>
    <row r="7655" spans="1:2" x14ac:dyDescent="0.35">
      <c r="A7655" s="32"/>
      <c r="B7655" s="32"/>
    </row>
    <row r="7656" spans="1:2" x14ac:dyDescent="0.35">
      <c r="A7656" s="32"/>
      <c r="B7656" s="32"/>
    </row>
    <row r="7657" spans="1:2" x14ac:dyDescent="0.35">
      <c r="A7657" s="32"/>
      <c r="B7657" s="32"/>
    </row>
    <row r="7658" spans="1:2" x14ac:dyDescent="0.35">
      <c r="A7658" s="32"/>
      <c r="B7658" s="32"/>
    </row>
    <row r="7659" spans="1:2" x14ac:dyDescent="0.35">
      <c r="A7659" s="32"/>
      <c r="B7659" s="32"/>
    </row>
    <row r="7660" spans="1:2" x14ac:dyDescent="0.35">
      <c r="A7660" s="32"/>
      <c r="B7660" s="32"/>
    </row>
    <row r="7661" spans="1:2" x14ac:dyDescent="0.35">
      <c r="A7661" s="32"/>
      <c r="B7661" s="32"/>
    </row>
    <row r="7662" spans="1:2" x14ac:dyDescent="0.35">
      <c r="A7662" s="32"/>
      <c r="B7662" s="32"/>
    </row>
    <row r="7663" spans="1:2" x14ac:dyDescent="0.35">
      <c r="A7663" s="32"/>
      <c r="B7663" s="32"/>
    </row>
    <row r="7664" spans="1:2" x14ac:dyDescent="0.35">
      <c r="A7664" s="32"/>
      <c r="B7664" s="32"/>
    </row>
    <row r="7665" spans="1:2" x14ac:dyDescent="0.35">
      <c r="A7665" s="32"/>
      <c r="B7665" s="32"/>
    </row>
    <row r="7666" spans="1:2" x14ac:dyDescent="0.35">
      <c r="A7666" s="32"/>
      <c r="B7666" s="32"/>
    </row>
    <row r="7667" spans="1:2" x14ac:dyDescent="0.35">
      <c r="A7667" s="32"/>
      <c r="B7667" s="32"/>
    </row>
    <row r="7668" spans="1:2" x14ac:dyDescent="0.35">
      <c r="A7668" s="32"/>
      <c r="B7668" s="32"/>
    </row>
    <row r="7669" spans="1:2" x14ac:dyDescent="0.35">
      <c r="A7669" s="32"/>
      <c r="B7669" s="32"/>
    </row>
    <row r="7670" spans="1:2" x14ac:dyDescent="0.35">
      <c r="A7670" s="32"/>
      <c r="B7670" s="32"/>
    </row>
    <row r="7671" spans="1:2" x14ac:dyDescent="0.35">
      <c r="A7671" s="32"/>
      <c r="B7671" s="32"/>
    </row>
    <row r="7672" spans="1:2" x14ac:dyDescent="0.35">
      <c r="A7672" s="32"/>
      <c r="B7672" s="32"/>
    </row>
    <row r="7673" spans="1:2" x14ac:dyDescent="0.35">
      <c r="A7673" s="32"/>
      <c r="B7673" s="32"/>
    </row>
    <row r="7674" spans="1:2" x14ac:dyDescent="0.35">
      <c r="A7674" s="32"/>
      <c r="B7674" s="32"/>
    </row>
    <row r="7675" spans="1:2" x14ac:dyDescent="0.35">
      <c r="A7675" s="32"/>
      <c r="B7675" s="32"/>
    </row>
    <row r="7676" spans="1:2" x14ac:dyDescent="0.35">
      <c r="A7676" s="32"/>
      <c r="B7676" s="32"/>
    </row>
    <row r="7677" spans="1:2" x14ac:dyDescent="0.35">
      <c r="A7677" s="32"/>
      <c r="B7677" s="32"/>
    </row>
    <row r="7678" spans="1:2" x14ac:dyDescent="0.35">
      <c r="A7678" s="32"/>
      <c r="B7678" s="32"/>
    </row>
    <row r="7679" spans="1:2" x14ac:dyDescent="0.35">
      <c r="A7679" s="32"/>
      <c r="B7679" s="32"/>
    </row>
    <row r="7680" spans="1:2" x14ac:dyDescent="0.35">
      <c r="A7680" s="32"/>
      <c r="B7680" s="32"/>
    </row>
    <row r="7681" spans="1:2" x14ac:dyDescent="0.35">
      <c r="A7681" s="32"/>
      <c r="B7681" s="32"/>
    </row>
    <row r="7682" spans="1:2" x14ac:dyDescent="0.35">
      <c r="A7682" s="32"/>
      <c r="B7682" s="32"/>
    </row>
    <row r="7683" spans="1:2" x14ac:dyDescent="0.35">
      <c r="A7683" s="32"/>
      <c r="B7683" s="32"/>
    </row>
    <row r="7684" spans="1:2" x14ac:dyDescent="0.35">
      <c r="A7684" s="32"/>
      <c r="B7684" s="32"/>
    </row>
    <row r="7685" spans="1:2" x14ac:dyDescent="0.35">
      <c r="A7685" s="32"/>
      <c r="B7685" s="32"/>
    </row>
    <row r="7686" spans="1:2" x14ac:dyDescent="0.35">
      <c r="A7686" s="32"/>
      <c r="B7686" s="32"/>
    </row>
    <row r="7687" spans="1:2" x14ac:dyDescent="0.35">
      <c r="A7687" s="32"/>
      <c r="B7687" s="32"/>
    </row>
    <row r="7688" spans="1:2" x14ac:dyDescent="0.35">
      <c r="A7688" s="32"/>
      <c r="B7688" s="32"/>
    </row>
    <row r="7689" spans="1:2" x14ac:dyDescent="0.35">
      <c r="A7689" s="32"/>
      <c r="B7689" s="32"/>
    </row>
    <row r="7690" spans="1:2" x14ac:dyDescent="0.35">
      <c r="A7690" s="32"/>
      <c r="B7690" s="32"/>
    </row>
    <row r="7691" spans="1:2" x14ac:dyDescent="0.35">
      <c r="A7691" s="32"/>
      <c r="B7691" s="32"/>
    </row>
    <row r="7692" spans="1:2" x14ac:dyDescent="0.35">
      <c r="A7692" s="32"/>
      <c r="B7692" s="32"/>
    </row>
    <row r="7693" spans="1:2" x14ac:dyDescent="0.35">
      <c r="A7693" s="32"/>
      <c r="B7693" s="32"/>
    </row>
    <row r="7694" spans="1:2" x14ac:dyDescent="0.35">
      <c r="A7694" s="32"/>
      <c r="B7694" s="32"/>
    </row>
    <row r="7695" spans="1:2" x14ac:dyDescent="0.35">
      <c r="A7695" s="32"/>
      <c r="B7695" s="32"/>
    </row>
    <row r="7696" spans="1:2" x14ac:dyDescent="0.35">
      <c r="A7696" s="32"/>
      <c r="B7696" s="32"/>
    </row>
    <row r="7697" spans="1:2" x14ac:dyDescent="0.35">
      <c r="A7697" s="32"/>
      <c r="B7697" s="32"/>
    </row>
    <row r="7698" spans="1:2" x14ac:dyDescent="0.35">
      <c r="A7698" s="32"/>
      <c r="B7698" s="32"/>
    </row>
    <row r="7699" spans="1:2" x14ac:dyDescent="0.35">
      <c r="A7699" s="32"/>
      <c r="B7699" s="32"/>
    </row>
    <row r="7700" spans="1:2" x14ac:dyDescent="0.35">
      <c r="A7700" s="32"/>
      <c r="B7700" s="32"/>
    </row>
    <row r="7701" spans="1:2" x14ac:dyDescent="0.35">
      <c r="A7701" s="32"/>
      <c r="B7701" s="32"/>
    </row>
    <row r="7702" spans="1:2" x14ac:dyDescent="0.35">
      <c r="A7702" s="32"/>
      <c r="B7702" s="32"/>
    </row>
    <row r="7703" spans="1:2" x14ac:dyDescent="0.35">
      <c r="A7703" s="32"/>
      <c r="B7703" s="32"/>
    </row>
    <row r="7704" spans="1:2" x14ac:dyDescent="0.35">
      <c r="A7704" s="32"/>
      <c r="B7704" s="32"/>
    </row>
    <row r="7705" spans="1:2" x14ac:dyDescent="0.35">
      <c r="A7705" s="32"/>
      <c r="B7705" s="32"/>
    </row>
    <row r="7706" spans="1:2" x14ac:dyDescent="0.35">
      <c r="A7706" s="32"/>
      <c r="B7706" s="32"/>
    </row>
    <row r="7707" spans="1:2" x14ac:dyDescent="0.35">
      <c r="A7707" s="32"/>
      <c r="B7707" s="32"/>
    </row>
    <row r="7708" spans="1:2" x14ac:dyDescent="0.35">
      <c r="A7708" s="32"/>
      <c r="B7708" s="32"/>
    </row>
    <row r="7709" spans="1:2" x14ac:dyDescent="0.35">
      <c r="A7709" s="32"/>
      <c r="B7709" s="32"/>
    </row>
    <row r="7710" spans="1:2" x14ac:dyDescent="0.35">
      <c r="A7710" s="32"/>
      <c r="B7710" s="32"/>
    </row>
    <row r="7711" spans="1:2" x14ac:dyDescent="0.35">
      <c r="A7711" s="32"/>
      <c r="B7711" s="32"/>
    </row>
    <row r="7712" spans="1:2" x14ac:dyDescent="0.35">
      <c r="A7712" s="32"/>
      <c r="B7712" s="32"/>
    </row>
    <row r="7713" spans="1:2" x14ac:dyDescent="0.35">
      <c r="A7713" s="32"/>
      <c r="B7713" s="32"/>
    </row>
    <row r="7714" spans="1:2" x14ac:dyDescent="0.35">
      <c r="A7714" s="32"/>
      <c r="B7714" s="32"/>
    </row>
    <row r="7715" spans="1:2" x14ac:dyDescent="0.35">
      <c r="A7715" s="32"/>
      <c r="B7715" s="32"/>
    </row>
    <row r="7716" spans="1:2" x14ac:dyDescent="0.35">
      <c r="A7716" s="32"/>
      <c r="B7716" s="32"/>
    </row>
    <row r="7717" spans="1:2" x14ac:dyDescent="0.35">
      <c r="A7717" s="32"/>
      <c r="B7717" s="32"/>
    </row>
    <row r="7718" spans="1:2" x14ac:dyDescent="0.35">
      <c r="A7718" s="32"/>
      <c r="B7718" s="32"/>
    </row>
    <row r="7719" spans="1:2" x14ac:dyDescent="0.35">
      <c r="A7719" s="32"/>
      <c r="B7719" s="32"/>
    </row>
    <row r="7720" spans="1:2" x14ac:dyDescent="0.35">
      <c r="A7720" s="32"/>
      <c r="B7720" s="32"/>
    </row>
    <row r="7721" spans="1:2" x14ac:dyDescent="0.35">
      <c r="A7721" s="32"/>
      <c r="B7721" s="32"/>
    </row>
    <row r="7722" spans="1:2" x14ac:dyDescent="0.35">
      <c r="A7722" s="32"/>
      <c r="B7722" s="32"/>
    </row>
    <row r="7723" spans="1:2" x14ac:dyDescent="0.35">
      <c r="A7723" s="32"/>
      <c r="B7723" s="32"/>
    </row>
    <row r="7724" spans="1:2" x14ac:dyDescent="0.35">
      <c r="A7724" s="32"/>
      <c r="B7724" s="32"/>
    </row>
    <row r="7725" spans="1:2" x14ac:dyDescent="0.35">
      <c r="A7725" s="32"/>
      <c r="B7725" s="32"/>
    </row>
    <row r="7726" spans="1:2" x14ac:dyDescent="0.35">
      <c r="A7726" s="32"/>
      <c r="B7726" s="32"/>
    </row>
    <row r="7727" spans="1:2" x14ac:dyDescent="0.35">
      <c r="A7727" s="32"/>
      <c r="B7727" s="32"/>
    </row>
    <row r="7728" spans="1:2" x14ac:dyDescent="0.35">
      <c r="A7728" s="32"/>
      <c r="B7728" s="32"/>
    </row>
    <row r="7729" spans="1:2" x14ac:dyDescent="0.35">
      <c r="A7729" s="32"/>
      <c r="B7729" s="32"/>
    </row>
    <row r="7730" spans="1:2" x14ac:dyDescent="0.35">
      <c r="A7730" s="32"/>
      <c r="B7730" s="32"/>
    </row>
    <row r="7731" spans="1:2" x14ac:dyDescent="0.35">
      <c r="A7731" s="32"/>
      <c r="B7731" s="32"/>
    </row>
    <row r="7732" spans="1:2" x14ac:dyDescent="0.35">
      <c r="A7732" s="32"/>
      <c r="B7732" s="32"/>
    </row>
    <row r="7733" spans="1:2" x14ac:dyDescent="0.35">
      <c r="A7733" s="32"/>
      <c r="B7733" s="32"/>
    </row>
    <row r="7734" spans="1:2" x14ac:dyDescent="0.35">
      <c r="A7734" s="32"/>
      <c r="B7734" s="32"/>
    </row>
    <row r="7735" spans="1:2" x14ac:dyDescent="0.35">
      <c r="A7735" s="32"/>
      <c r="B7735" s="32"/>
    </row>
    <row r="7736" spans="1:2" x14ac:dyDescent="0.35">
      <c r="A7736" s="32"/>
      <c r="B7736" s="32"/>
    </row>
    <row r="7737" spans="1:2" x14ac:dyDescent="0.35">
      <c r="A7737" s="32"/>
      <c r="B7737" s="32"/>
    </row>
    <row r="7738" spans="1:2" x14ac:dyDescent="0.35">
      <c r="A7738" s="32"/>
      <c r="B7738" s="32"/>
    </row>
    <row r="7739" spans="1:2" x14ac:dyDescent="0.35">
      <c r="A7739" s="32"/>
      <c r="B7739" s="32"/>
    </row>
    <row r="7740" spans="1:2" x14ac:dyDescent="0.35">
      <c r="A7740" s="32"/>
      <c r="B7740" s="32"/>
    </row>
    <row r="7741" spans="1:2" x14ac:dyDescent="0.35">
      <c r="A7741" s="32"/>
      <c r="B7741" s="32"/>
    </row>
    <row r="7742" spans="1:2" x14ac:dyDescent="0.35">
      <c r="A7742" s="32"/>
      <c r="B7742" s="32"/>
    </row>
    <row r="7743" spans="1:2" x14ac:dyDescent="0.35">
      <c r="A7743" s="32"/>
      <c r="B7743" s="32"/>
    </row>
    <row r="7744" spans="1:2" x14ac:dyDescent="0.35">
      <c r="A7744" s="32"/>
      <c r="B7744" s="32"/>
    </row>
    <row r="7745" spans="1:2" x14ac:dyDescent="0.35">
      <c r="A7745" s="32"/>
      <c r="B7745" s="32"/>
    </row>
    <row r="7746" spans="1:2" x14ac:dyDescent="0.35">
      <c r="A7746" s="32"/>
      <c r="B7746" s="32"/>
    </row>
    <row r="7747" spans="1:2" x14ac:dyDescent="0.35">
      <c r="A7747" s="32"/>
      <c r="B7747" s="32"/>
    </row>
    <row r="7748" spans="1:2" x14ac:dyDescent="0.35">
      <c r="A7748" s="32"/>
      <c r="B7748" s="32"/>
    </row>
    <row r="7749" spans="1:2" x14ac:dyDescent="0.35">
      <c r="A7749" s="32"/>
      <c r="B7749" s="32"/>
    </row>
    <row r="7750" spans="1:2" x14ac:dyDescent="0.35">
      <c r="A7750" s="32"/>
      <c r="B7750" s="32"/>
    </row>
    <row r="7751" spans="1:2" x14ac:dyDescent="0.35">
      <c r="A7751" s="32"/>
      <c r="B7751" s="32"/>
    </row>
    <row r="7752" spans="1:2" x14ac:dyDescent="0.35">
      <c r="A7752" s="32"/>
      <c r="B7752" s="32"/>
    </row>
    <row r="7753" spans="1:2" x14ac:dyDescent="0.35">
      <c r="A7753" s="32"/>
      <c r="B7753" s="32"/>
    </row>
    <row r="7754" spans="1:2" x14ac:dyDescent="0.35">
      <c r="A7754" s="32"/>
      <c r="B7754" s="32"/>
    </row>
    <row r="7755" spans="1:2" x14ac:dyDescent="0.35">
      <c r="A7755" s="32"/>
      <c r="B7755" s="32"/>
    </row>
    <row r="7756" spans="1:2" x14ac:dyDescent="0.35">
      <c r="A7756" s="32"/>
      <c r="B7756" s="32"/>
    </row>
    <row r="7757" spans="1:2" x14ac:dyDescent="0.35">
      <c r="A7757" s="32"/>
      <c r="B7757" s="32"/>
    </row>
    <row r="7758" spans="1:2" x14ac:dyDescent="0.35">
      <c r="A7758" s="32"/>
      <c r="B7758" s="32"/>
    </row>
    <row r="7759" spans="1:2" x14ac:dyDescent="0.35">
      <c r="A7759" s="32"/>
      <c r="B7759" s="32"/>
    </row>
    <row r="7760" spans="1:2" x14ac:dyDescent="0.35">
      <c r="A7760" s="32"/>
      <c r="B7760" s="32"/>
    </row>
    <row r="7761" spans="1:2" x14ac:dyDescent="0.35">
      <c r="A7761" s="32"/>
      <c r="B7761" s="32"/>
    </row>
    <row r="7762" spans="1:2" x14ac:dyDescent="0.35">
      <c r="A7762" s="32"/>
      <c r="B7762" s="32"/>
    </row>
    <row r="7763" spans="1:2" x14ac:dyDescent="0.35">
      <c r="A7763" s="32"/>
      <c r="B7763" s="32"/>
    </row>
    <row r="7764" spans="1:2" x14ac:dyDescent="0.35">
      <c r="A7764" s="32"/>
      <c r="B7764" s="32"/>
    </row>
    <row r="7765" spans="1:2" x14ac:dyDescent="0.35">
      <c r="A7765" s="32"/>
      <c r="B7765" s="32"/>
    </row>
    <row r="7766" spans="1:2" x14ac:dyDescent="0.35">
      <c r="A7766" s="32"/>
      <c r="B7766" s="32"/>
    </row>
    <row r="7767" spans="1:2" x14ac:dyDescent="0.35">
      <c r="A7767" s="32"/>
      <c r="B7767" s="32"/>
    </row>
    <row r="7768" spans="1:2" x14ac:dyDescent="0.35">
      <c r="A7768" s="32"/>
      <c r="B7768" s="32"/>
    </row>
    <row r="7769" spans="1:2" x14ac:dyDescent="0.35">
      <c r="A7769" s="32"/>
      <c r="B7769" s="32"/>
    </row>
    <row r="7770" spans="1:2" x14ac:dyDescent="0.35">
      <c r="A7770" s="32"/>
      <c r="B7770" s="32"/>
    </row>
    <row r="7771" spans="1:2" x14ac:dyDescent="0.35">
      <c r="A7771" s="32"/>
      <c r="B7771" s="32"/>
    </row>
    <row r="7772" spans="1:2" x14ac:dyDescent="0.35">
      <c r="A7772" s="32"/>
      <c r="B7772" s="32"/>
    </row>
    <row r="7773" spans="1:2" x14ac:dyDescent="0.35">
      <c r="A7773" s="32"/>
      <c r="B7773" s="32"/>
    </row>
    <row r="7774" spans="1:2" x14ac:dyDescent="0.35">
      <c r="A7774" s="32"/>
      <c r="B7774" s="32"/>
    </row>
    <row r="7775" spans="1:2" x14ac:dyDescent="0.35">
      <c r="A7775" s="32"/>
      <c r="B7775" s="32"/>
    </row>
    <row r="7776" spans="1:2" x14ac:dyDescent="0.35">
      <c r="A7776" s="32"/>
      <c r="B7776" s="32"/>
    </row>
    <row r="7777" spans="1:2" x14ac:dyDescent="0.35">
      <c r="A7777" s="32"/>
      <c r="B7777" s="32"/>
    </row>
    <row r="7778" spans="1:2" x14ac:dyDescent="0.35">
      <c r="A7778" s="32"/>
      <c r="B7778" s="32"/>
    </row>
    <row r="7779" spans="1:2" x14ac:dyDescent="0.35">
      <c r="A7779" s="32"/>
      <c r="B7779" s="32"/>
    </row>
    <row r="7780" spans="1:2" x14ac:dyDescent="0.35">
      <c r="A7780" s="32"/>
      <c r="B7780" s="32"/>
    </row>
    <row r="7781" spans="1:2" x14ac:dyDescent="0.35">
      <c r="A7781" s="32"/>
      <c r="B7781" s="32"/>
    </row>
    <row r="7782" spans="1:2" x14ac:dyDescent="0.35">
      <c r="A7782" s="32"/>
      <c r="B7782" s="32"/>
    </row>
    <row r="7783" spans="1:2" x14ac:dyDescent="0.35">
      <c r="A7783" s="32"/>
      <c r="B7783" s="32"/>
    </row>
    <row r="7784" spans="1:2" x14ac:dyDescent="0.35">
      <c r="A7784" s="32"/>
      <c r="B7784" s="32"/>
    </row>
    <row r="7785" spans="1:2" x14ac:dyDescent="0.35">
      <c r="A7785" s="32"/>
      <c r="B7785" s="32"/>
    </row>
    <row r="7786" spans="1:2" x14ac:dyDescent="0.35">
      <c r="A7786" s="32"/>
      <c r="B7786" s="32"/>
    </row>
    <row r="7787" spans="1:2" x14ac:dyDescent="0.35">
      <c r="A7787" s="32"/>
      <c r="B7787" s="32"/>
    </row>
    <row r="7788" spans="1:2" x14ac:dyDescent="0.35">
      <c r="A7788" s="32"/>
      <c r="B7788" s="32"/>
    </row>
    <row r="7789" spans="1:2" x14ac:dyDescent="0.35">
      <c r="A7789" s="32"/>
      <c r="B7789" s="32"/>
    </row>
    <row r="7790" spans="1:2" x14ac:dyDescent="0.35">
      <c r="A7790" s="32"/>
      <c r="B7790" s="32"/>
    </row>
    <row r="7791" spans="1:2" x14ac:dyDescent="0.35">
      <c r="A7791" s="32"/>
      <c r="B7791" s="32"/>
    </row>
    <row r="7792" spans="1:2" x14ac:dyDescent="0.35">
      <c r="A7792" s="32"/>
      <c r="B7792" s="32"/>
    </row>
    <row r="7793" spans="1:2" x14ac:dyDescent="0.35">
      <c r="A7793" s="32"/>
      <c r="B7793" s="32"/>
    </row>
    <row r="7794" spans="1:2" x14ac:dyDescent="0.35">
      <c r="A7794" s="32"/>
      <c r="B7794" s="32"/>
    </row>
    <row r="7795" spans="1:2" x14ac:dyDescent="0.35">
      <c r="A7795" s="32"/>
      <c r="B7795" s="32"/>
    </row>
    <row r="7796" spans="1:2" x14ac:dyDescent="0.35">
      <c r="A7796" s="32"/>
      <c r="B7796" s="32"/>
    </row>
    <row r="7797" spans="1:2" x14ac:dyDescent="0.35">
      <c r="A7797" s="32"/>
      <c r="B7797" s="32"/>
    </row>
    <row r="7798" spans="1:2" x14ac:dyDescent="0.35">
      <c r="A7798" s="32"/>
      <c r="B7798" s="32"/>
    </row>
    <row r="7799" spans="1:2" x14ac:dyDescent="0.35">
      <c r="A7799" s="32"/>
      <c r="B7799" s="32"/>
    </row>
    <row r="7800" spans="1:2" x14ac:dyDescent="0.35">
      <c r="A7800" s="32"/>
      <c r="B7800" s="32"/>
    </row>
    <row r="7801" spans="1:2" x14ac:dyDescent="0.35">
      <c r="A7801" s="32"/>
      <c r="B7801" s="32"/>
    </row>
    <row r="7802" spans="1:2" x14ac:dyDescent="0.35">
      <c r="A7802" s="32"/>
      <c r="B7802" s="32"/>
    </row>
    <row r="7803" spans="1:2" x14ac:dyDescent="0.35">
      <c r="A7803" s="32"/>
      <c r="B7803" s="32"/>
    </row>
    <row r="7804" spans="1:2" x14ac:dyDescent="0.35">
      <c r="A7804" s="32"/>
      <c r="B7804" s="32"/>
    </row>
    <row r="7805" spans="1:2" x14ac:dyDescent="0.35">
      <c r="A7805" s="32"/>
      <c r="B7805" s="32"/>
    </row>
    <row r="7806" spans="1:2" x14ac:dyDescent="0.35">
      <c r="A7806" s="32"/>
      <c r="B7806" s="32"/>
    </row>
    <row r="7807" spans="1:2" x14ac:dyDescent="0.35">
      <c r="A7807" s="32"/>
      <c r="B7807" s="32"/>
    </row>
    <row r="7808" spans="1:2" x14ac:dyDescent="0.35">
      <c r="A7808" s="32"/>
      <c r="B7808" s="32"/>
    </row>
    <row r="7809" spans="1:2" x14ac:dyDescent="0.35">
      <c r="A7809" s="32"/>
      <c r="B7809" s="32"/>
    </row>
    <row r="7810" spans="1:2" x14ac:dyDescent="0.35">
      <c r="A7810" s="32"/>
      <c r="B7810" s="32"/>
    </row>
    <row r="7811" spans="1:2" x14ac:dyDescent="0.35">
      <c r="A7811" s="32"/>
      <c r="B7811" s="32"/>
    </row>
    <row r="7812" spans="1:2" x14ac:dyDescent="0.35">
      <c r="A7812" s="32"/>
      <c r="B7812" s="32"/>
    </row>
    <row r="7813" spans="1:2" x14ac:dyDescent="0.35">
      <c r="A7813" s="32"/>
      <c r="B7813" s="32"/>
    </row>
    <row r="7814" spans="1:2" x14ac:dyDescent="0.35">
      <c r="A7814" s="32"/>
      <c r="B7814" s="32"/>
    </row>
    <row r="7815" spans="1:2" x14ac:dyDescent="0.35">
      <c r="A7815" s="32"/>
      <c r="B7815" s="32"/>
    </row>
    <row r="7816" spans="1:2" x14ac:dyDescent="0.35">
      <c r="A7816" s="32"/>
      <c r="B7816" s="32"/>
    </row>
    <row r="7817" spans="1:2" x14ac:dyDescent="0.35">
      <c r="A7817" s="32"/>
      <c r="B7817" s="32"/>
    </row>
    <row r="7818" spans="1:2" x14ac:dyDescent="0.35">
      <c r="A7818" s="32"/>
      <c r="B7818" s="32"/>
    </row>
    <row r="7819" spans="1:2" x14ac:dyDescent="0.35">
      <c r="A7819" s="32"/>
      <c r="B7819" s="32"/>
    </row>
    <row r="7820" spans="1:2" x14ac:dyDescent="0.35">
      <c r="A7820" s="32"/>
      <c r="B7820" s="32"/>
    </row>
    <row r="7821" spans="1:2" x14ac:dyDescent="0.35">
      <c r="A7821" s="32"/>
      <c r="B7821" s="32"/>
    </row>
    <row r="7822" spans="1:2" x14ac:dyDescent="0.35">
      <c r="A7822" s="32"/>
      <c r="B7822" s="32"/>
    </row>
    <row r="7823" spans="1:2" x14ac:dyDescent="0.35">
      <c r="A7823" s="32"/>
      <c r="B7823" s="32"/>
    </row>
    <row r="7824" spans="1:2" x14ac:dyDescent="0.35">
      <c r="A7824" s="32"/>
      <c r="B7824" s="32"/>
    </row>
    <row r="7825" spans="1:2" x14ac:dyDescent="0.35">
      <c r="A7825" s="32"/>
      <c r="B7825" s="32"/>
    </row>
    <row r="7826" spans="1:2" x14ac:dyDescent="0.35">
      <c r="A7826" s="32"/>
      <c r="B7826" s="32"/>
    </row>
    <row r="7827" spans="1:2" x14ac:dyDescent="0.35">
      <c r="A7827" s="32"/>
      <c r="B7827" s="32"/>
    </row>
    <row r="7828" spans="1:2" x14ac:dyDescent="0.35">
      <c r="A7828" s="32"/>
      <c r="B7828" s="32"/>
    </row>
    <row r="7829" spans="1:2" x14ac:dyDescent="0.35">
      <c r="A7829" s="32"/>
      <c r="B7829" s="32"/>
    </row>
    <row r="7830" spans="1:2" x14ac:dyDescent="0.35">
      <c r="A7830" s="32"/>
      <c r="B7830" s="32"/>
    </row>
    <row r="7831" spans="1:2" x14ac:dyDescent="0.35">
      <c r="A7831" s="32"/>
      <c r="B7831" s="32"/>
    </row>
    <row r="7832" spans="1:2" x14ac:dyDescent="0.35">
      <c r="A7832" s="32"/>
      <c r="B7832" s="32"/>
    </row>
    <row r="7833" spans="1:2" x14ac:dyDescent="0.35">
      <c r="A7833" s="32"/>
      <c r="B7833" s="32"/>
    </row>
    <row r="7834" spans="1:2" x14ac:dyDescent="0.35">
      <c r="A7834" s="32"/>
      <c r="B7834" s="32"/>
    </row>
    <row r="7835" spans="1:2" x14ac:dyDescent="0.35">
      <c r="A7835" s="32"/>
      <c r="B7835" s="32"/>
    </row>
    <row r="7836" spans="1:2" x14ac:dyDescent="0.35">
      <c r="A7836" s="32"/>
      <c r="B7836" s="32"/>
    </row>
    <row r="7837" spans="1:2" x14ac:dyDescent="0.35">
      <c r="A7837" s="32"/>
      <c r="B7837" s="32"/>
    </row>
    <row r="7838" spans="1:2" x14ac:dyDescent="0.35">
      <c r="A7838" s="32"/>
      <c r="B7838" s="32"/>
    </row>
    <row r="7839" spans="1:2" x14ac:dyDescent="0.35">
      <c r="A7839" s="32"/>
      <c r="B7839" s="32"/>
    </row>
    <row r="7840" spans="1:2" x14ac:dyDescent="0.35">
      <c r="A7840" s="32"/>
      <c r="B7840" s="32"/>
    </row>
    <row r="7841" spans="1:2" x14ac:dyDescent="0.35">
      <c r="A7841" s="32"/>
      <c r="B7841" s="32"/>
    </row>
    <row r="7842" spans="1:2" x14ac:dyDescent="0.35">
      <c r="A7842" s="32"/>
      <c r="B7842" s="32"/>
    </row>
    <row r="7843" spans="1:2" x14ac:dyDescent="0.35">
      <c r="A7843" s="32"/>
      <c r="B7843" s="32"/>
    </row>
    <row r="7844" spans="1:2" x14ac:dyDescent="0.35">
      <c r="A7844" s="32"/>
      <c r="B7844" s="32"/>
    </row>
    <row r="7845" spans="1:2" x14ac:dyDescent="0.35">
      <c r="A7845" s="32"/>
      <c r="B7845" s="32"/>
    </row>
    <row r="7846" spans="1:2" x14ac:dyDescent="0.35">
      <c r="A7846" s="32"/>
      <c r="B7846" s="32"/>
    </row>
    <row r="7847" spans="1:2" x14ac:dyDescent="0.35">
      <c r="A7847" s="32"/>
      <c r="B7847" s="32"/>
    </row>
    <row r="7848" spans="1:2" x14ac:dyDescent="0.35">
      <c r="A7848" s="32"/>
      <c r="B7848" s="32"/>
    </row>
    <row r="7849" spans="1:2" x14ac:dyDescent="0.35">
      <c r="A7849" s="32"/>
      <c r="B7849" s="32"/>
    </row>
    <row r="7850" spans="1:2" x14ac:dyDescent="0.35">
      <c r="A7850" s="32"/>
      <c r="B7850" s="32"/>
    </row>
    <row r="7851" spans="1:2" x14ac:dyDescent="0.35">
      <c r="A7851" s="32"/>
      <c r="B7851" s="32"/>
    </row>
    <row r="7852" spans="1:2" x14ac:dyDescent="0.35">
      <c r="A7852" s="32"/>
      <c r="B7852" s="32"/>
    </row>
    <row r="7853" spans="1:2" x14ac:dyDescent="0.35">
      <c r="A7853" s="32"/>
      <c r="B7853" s="32"/>
    </row>
    <row r="7854" spans="1:2" x14ac:dyDescent="0.35">
      <c r="A7854" s="32"/>
      <c r="B7854" s="32"/>
    </row>
    <row r="7855" spans="1:2" x14ac:dyDescent="0.35">
      <c r="A7855" s="32"/>
      <c r="B7855" s="32"/>
    </row>
    <row r="7856" spans="1:2" x14ac:dyDescent="0.35">
      <c r="A7856" s="32"/>
      <c r="B7856" s="32"/>
    </row>
    <row r="7857" spans="1:2" x14ac:dyDescent="0.35">
      <c r="A7857" s="32"/>
      <c r="B7857" s="32"/>
    </row>
    <row r="7858" spans="1:2" x14ac:dyDescent="0.35">
      <c r="A7858" s="32"/>
      <c r="B7858" s="32"/>
    </row>
    <row r="7859" spans="1:2" x14ac:dyDescent="0.35">
      <c r="A7859" s="32"/>
      <c r="B7859" s="32"/>
    </row>
    <row r="7860" spans="1:2" x14ac:dyDescent="0.35">
      <c r="A7860" s="32"/>
      <c r="B7860" s="32"/>
    </row>
    <row r="7861" spans="1:2" x14ac:dyDescent="0.35">
      <c r="A7861" s="32"/>
      <c r="B7861" s="32"/>
    </row>
    <row r="7862" spans="1:2" x14ac:dyDescent="0.35">
      <c r="A7862" s="32"/>
      <c r="B7862" s="32"/>
    </row>
    <row r="7863" spans="1:2" x14ac:dyDescent="0.35">
      <c r="A7863" s="32"/>
      <c r="B7863" s="32"/>
    </row>
    <row r="7864" spans="1:2" x14ac:dyDescent="0.35">
      <c r="A7864" s="32"/>
      <c r="B7864" s="32"/>
    </row>
    <row r="7865" spans="1:2" x14ac:dyDescent="0.35">
      <c r="A7865" s="32"/>
      <c r="B7865" s="32"/>
    </row>
    <row r="7866" spans="1:2" x14ac:dyDescent="0.35">
      <c r="A7866" s="32"/>
      <c r="B7866" s="32"/>
    </row>
    <row r="7867" spans="1:2" x14ac:dyDescent="0.35">
      <c r="A7867" s="32"/>
      <c r="B7867" s="32"/>
    </row>
    <row r="7868" spans="1:2" x14ac:dyDescent="0.35">
      <c r="A7868" s="32"/>
      <c r="B7868" s="32"/>
    </row>
    <row r="7869" spans="1:2" x14ac:dyDescent="0.35">
      <c r="A7869" s="32"/>
      <c r="B7869" s="32"/>
    </row>
    <row r="7870" spans="1:2" x14ac:dyDescent="0.35">
      <c r="A7870" s="32"/>
      <c r="B7870" s="32"/>
    </row>
    <row r="7871" spans="1:2" x14ac:dyDescent="0.35">
      <c r="A7871" s="32"/>
      <c r="B7871" s="32"/>
    </row>
    <row r="7872" spans="1:2" x14ac:dyDescent="0.35">
      <c r="A7872" s="32"/>
      <c r="B7872" s="32"/>
    </row>
    <row r="7873" spans="1:2" x14ac:dyDescent="0.35">
      <c r="A7873" s="32"/>
      <c r="B7873" s="32"/>
    </row>
    <row r="7874" spans="1:2" x14ac:dyDescent="0.35">
      <c r="A7874" s="32"/>
      <c r="B7874" s="32"/>
    </row>
    <row r="7875" spans="1:2" x14ac:dyDescent="0.35">
      <c r="A7875" s="32"/>
      <c r="B7875" s="32"/>
    </row>
    <row r="7876" spans="1:2" x14ac:dyDescent="0.35">
      <c r="A7876" s="32"/>
      <c r="B7876" s="32"/>
    </row>
    <row r="7877" spans="1:2" x14ac:dyDescent="0.35">
      <c r="A7877" s="32"/>
      <c r="B7877" s="32"/>
    </row>
    <row r="7878" spans="1:2" x14ac:dyDescent="0.35">
      <c r="A7878" s="32"/>
      <c r="B7878" s="32"/>
    </row>
    <row r="7879" spans="1:2" x14ac:dyDescent="0.35">
      <c r="A7879" s="32"/>
      <c r="B7879" s="32"/>
    </row>
    <row r="7880" spans="1:2" x14ac:dyDescent="0.35">
      <c r="A7880" s="32"/>
      <c r="B7880" s="32"/>
    </row>
    <row r="7881" spans="1:2" x14ac:dyDescent="0.35">
      <c r="A7881" s="32"/>
      <c r="B7881" s="32"/>
    </row>
    <row r="7882" spans="1:2" x14ac:dyDescent="0.35">
      <c r="A7882" s="32"/>
      <c r="B7882" s="32"/>
    </row>
    <row r="7883" spans="1:2" x14ac:dyDescent="0.35">
      <c r="A7883" s="32"/>
      <c r="B7883" s="32"/>
    </row>
    <row r="7884" spans="1:2" x14ac:dyDescent="0.35">
      <c r="A7884" s="32"/>
      <c r="B7884" s="32"/>
    </row>
    <row r="7885" spans="1:2" x14ac:dyDescent="0.35">
      <c r="A7885" s="32"/>
      <c r="B7885" s="32"/>
    </row>
    <row r="7886" spans="1:2" x14ac:dyDescent="0.35">
      <c r="A7886" s="32"/>
      <c r="B7886" s="32"/>
    </row>
    <row r="7887" spans="1:2" x14ac:dyDescent="0.35">
      <c r="A7887" s="32"/>
      <c r="B7887" s="32"/>
    </row>
    <row r="7888" spans="1:2" x14ac:dyDescent="0.35">
      <c r="A7888" s="32"/>
      <c r="B7888" s="32"/>
    </row>
    <row r="7889" spans="1:2" x14ac:dyDescent="0.35">
      <c r="A7889" s="32"/>
      <c r="B7889" s="32"/>
    </row>
    <row r="7890" spans="1:2" x14ac:dyDescent="0.35">
      <c r="A7890" s="32"/>
      <c r="B7890" s="32"/>
    </row>
    <row r="7891" spans="1:2" x14ac:dyDescent="0.35">
      <c r="A7891" s="32"/>
      <c r="B7891" s="32"/>
    </row>
    <row r="7892" spans="1:2" x14ac:dyDescent="0.35">
      <c r="A7892" s="32"/>
      <c r="B7892" s="32"/>
    </row>
    <row r="7893" spans="1:2" x14ac:dyDescent="0.35">
      <c r="A7893" s="32"/>
      <c r="B7893" s="32"/>
    </row>
    <row r="7894" spans="1:2" x14ac:dyDescent="0.35">
      <c r="A7894" s="32"/>
      <c r="B7894" s="32"/>
    </row>
    <row r="7895" spans="1:2" x14ac:dyDescent="0.35">
      <c r="A7895" s="32"/>
      <c r="B7895" s="32"/>
    </row>
    <row r="7896" spans="1:2" x14ac:dyDescent="0.35">
      <c r="A7896" s="32"/>
      <c r="B7896" s="32"/>
    </row>
    <row r="7897" spans="1:2" x14ac:dyDescent="0.35">
      <c r="A7897" s="32"/>
      <c r="B7897" s="32"/>
    </row>
    <row r="7898" spans="1:2" x14ac:dyDescent="0.35">
      <c r="A7898" s="32"/>
      <c r="B7898" s="32"/>
    </row>
    <row r="7899" spans="1:2" x14ac:dyDescent="0.35">
      <c r="A7899" s="32"/>
      <c r="B7899" s="32"/>
    </row>
    <row r="7900" spans="1:2" x14ac:dyDescent="0.35">
      <c r="A7900" s="32"/>
      <c r="B7900" s="32"/>
    </row>
    <row r="7901" spans="1:2" x14ac:dyDescent="0.35">
      <c r="A7901" s="32"/>
      <c r="B7901" s="32"/>
    </row>
    <row r="7902" spans="1:2" x14ac:dyDescent="0.35">
      <c r="A7902" s="32"/>
      <c r="B7902" s="32"/>
    </row>
    <row r="7903" spans="1:2" x14ac:dyDescent="0.35">
      <c r="A7903" s="32"/>
      <c r="B7903" s="32"/>
    </row>
    <row r="7904" spans="1:2" x14ac:dyDescent="0.35">
      <c r="A7904" s="32"/>
      <c r="B7904" s="32"/>
    </row>
    <row r="7905" spans="1:2" x14ac:dyDescent="0.35">
      <c r="A7905" s="32"/>
      <c r="B7905" s="32"/>
    </row>
    <row r="7906" spans="1:2" x14ac:dyDescent="0.35">
      <c r="A7906" s="32"/>
      <c r="B7906" s="32"/>
    </row>
    <row r="7907" spans="1:2" x14ac:dyDescent="0.35">
      <c r="A7907" s="32"/>
      <c r="B7907" s="32"/>
    </row>
    <row r="7908" spans="1:2" x14ac:dyDescent="0.35">
      <c r="A7908" s="32"/>
      <c r="B7908" s="32"/>
    </row>
    <row r="7909" spans="1:2" x14ac:dyDescent="0.35">
      <c r="A7909" s="32"/>
      <c r="B7909" s="32"/>
    </row>
    <row r="7910" spans="1:2" x14ac:dyDescent="0.35">
      <c r="A7910" s="32"/>
      <c r="B7910" s="32"/>
    </row>
    <row r="7911" spans="1:2" x14ac:dyDescent="0.35">
      <c r="A7911" s="32"/>
      <c r="B7911" s="32"/>
    </row>
    <row r="7912" spans="1:2" x14ac:dyDescent="0.35">
      <c r="A7912" s="32"/>
      <c r="B7912" s="32"/>
    </row>
    <row r="7913" spans="1:2" x14ac:dyDescent="0.35">
      <c r="A7913" s="32"/>
      <c r="B7913" s="32"/>
    </row>
    <row r="7914" spans="1:2" x14ac:dyDescent="0.35">
      <c r="A7914" s="32"/>
      <c r="B7914" s="32"/>
    </row>
    <row r="7915" spans="1:2" x14ac:dyDescent="0.35">
      <c r="A7915" s="32"/>
      <c r="B7915" s="32"/>
    </row>
    <row r="7916" spans="1:2" x14ac:dyDescent="0.35">
      <c r="A7916" s="32"/>
      <c r="B7916" s="32"/>
    </row>
    <row r="7917" spans="1:2" x14ac:dyDescent="0.35">
      <c r="A7917" s="32"/>
      <c r="B7917" s="32"/>
    </row>
    <row r="7918" spans="1:2" x14ac:dyDescent="0.35">
      <c r="A7918" s="32"/>
      <c r="B7918" s="32"/>
    </row>
    <row r="7919" spans="1:2" x14ac:dyDescent="0.35">
      <c r="A7919" s="32"/>
      <c r="B7919" s="32"/>
    </row>
    <row r="7920" spans="1:2" x14ac:dyDescent="0.35">
      <c r="A7920" s="32"/>
      <c r="B7920" s="32"/>
    </row>
    <row r="7921" spans="1:2" x14ac:dyDescent="0.35">
      <c r="A7921" s="32"/>
      <c r="B7921" s="32"/>
    </row>
    <row r="7922" spans="1:2" x14ac:dyDescent="0.35">
      <c r="A7922" s="32"/>
      <c r="B7922" s="32"/>
    </row>
    <row r="7923" spans="1:2" x14ac:dyDescent="0.35">
      <c r="A7923" s="32"/>
      <c r="B7923" s="32"/>
    </row>
    <row r="7924" spans="1:2" x14ac:dyDescent="0.35">
      <c r="A7924" s="32"/>
      <c r="B7924" s="32"/>
    </row>
    <row r="7925" spans="1:2" x14ac:dyDescent="0.35">
      <c r="A7925" s="32"/>
      <c r="B7925" s="32"/>
    </row>
    <row r="7926" spans="1:2" x14ac:dyDescent="0.35">
      <c r="A7926" s="32"/>
      <c r="B7926" s="32"/>
    </row>
    <row r="7927" spans="1:2" x14ac:dyDescent="0.35">
      <c r="A7927" s="32"/>
      <c r="B7927" s="32"/>
    </row>
    <row r="7928" spans="1:2" x14ac:dyDescent="0.35">
      <c r="A7928" s="32"/>
      <c r="B7928" s="32"/>
    </row>
    <row r="7929" spans="1:2" x14ac:dyDescent="0.35">
      <c r="A7929" s="32"/>
      <c r="B7929" s="32"/>
    </row>
    <row r="7930" spans="1:2" x14ac:dyDescent="0.35">
      <c r="A7930" s="32"/>
      <c r="B7930" s="32"/>
    </row>
    <row r="7931" spans="1:2" x14ac:dyDescent="0.35">
      <c r="A7931" s="32"/>
      <c r="B7931" s="32"/>
    </row>
    <row r="7932" spans="1:2" x14ac:dyDescent="0.35">
      <c r="A7932" s="32"/>
      <c r="B7932" s="32"/>
    </row>
    <row r="7933" spans="1:2" x14ac:dyDescent="0.35">
      <c r="A7933" s="32"/>
      <c r="B7933" s="32"/>
    </row>
    <row r="7934" spans="1:2" x14ac:dyDescent="0.35">
      <c r="A7934" s="32"/>
      <c r="B7934" s="32"/>
    </row>
    <row r="7935" spans="1:2" x14ac:dyDescent="0.35">
      <c r="A7935" s="32"/>
      <c r="B7935" s="32"/>
    </row>
    <row r="7936" spans="1:2" x14ac:dyDescent="0.35">
      <c r="A7936" s="32"/>
      <c r="B7936" s="32"/>
    </row>
    <row r="7937" spans="1:2" x14ac:dyDescent="0.35">
      <c r="A7937" s="32"/>
      <c r="B7937" s="32"/>
    </row>
    <row r="7938" spans="1:2" x14ac:dyDescent="0.35">
      <c r="A7938" s="32"/>
      <c r="B7938" s="32"/>
    </row>
    <row r="7939" spans="1:2" x14ac:dyDescent="0.35">
      <c r="A7939" s="32"/>
      <c r="B7939" s="32"/>
    </row>
    <row r="7940" spans="1:2" x14ac:dyDescent="0.35">
      <c r="A7940" s="32"/>
      <c r="B7940" s="32"/>
    </row>
    <row r="7941" spans="1:2" x14ac:dyDescent="0.35">
      <c r="A7941" s="32"/>
      <c r="B7941" s="32"/>
    </row>
    <row r="7942" spans="1:2" x14ac:dyDescent="0.35">
      <c r="A7942" s="32"/>
      <c r="B7942" s="32"/>
    </row>
    <row r="7943" spans="1:2" x14ac:dyDescent="0.35">
      <c r="A7943" s="32"/>
      <c r="B7943" s="32"/>
    </row>
    <row r="7944" spans="1:2" x14ac:dyDescent="0.35">
      <c r="A7944" s="32"/>
      <c r="B7944" s="32"/>
    </row>
    <row r="7945" spans="1:2" x14ac:dyDescent="0.35">
      <c r="A7945" s="32"/>
      <c r="B7945" s="32"/>
    </row>
    <row r="7946" spans="1:2" x14ac:dyDescent="0.35">
      <c r="A7946" s="32"/>
      <c r="B7946" s="32"/>
    </row>
    <row r="7947" spans="1:2" x14ac:dyDescent="0.35">
      <c r="A7947" s="32"/>
      <c r="B7947" s="32"/>
    </row>
    <row r="7948" spans="1:2" x14ac:dyDescent="0.35">
      <c r="A7948" s="32"/>
      <c r="B7948" s="32"/>
    </row>
    <row r="7949" spans="1:2" x14ac:dyDescent="0.35">
      <c r="A7949" s="32"/>
      <c r="B7949" s="32"/>
    </row>
    <row r="7950" spans="1:2" x14ac:dyDescent="0.35">
      <c r="A7950" s="32"/>
      <c r="B7950" s="32"/>
    </row>
    <row r="7951" spans="1:2" x14ac:dyDescent="0.35">
      <c r="A7951" s="32"/>
      <c r="B7951" s="32"/>
    </row>
    <row r="7952" spans="1:2" x14ac:dyDescent="0.35">
      <c r="A7952" s="32"/>
      <c r="B7952" s="32"/>
    </row>
    <row r="7953" spans="1:2" x14ac:dyDescent="0.35">
      <c r="A7953" s="32"/>
      <c r="B7953" s="32"/>
    </row>
    <row r="7954" spans="1:2" x14ac:dyDescent="0.35">
      <c r="A7954" s="32"/>
      <c r="B7954" s="32"/>
    </row>
    <row r="7955" spans="1:2" x14ac:dyDescent="0.35">
      <c r="A7955" s="32"/>
      <c r="B7955" s="32"/>
    </row>
    <row r="7956" spans="1:2" x14ac:dyDescent="0.35">
      <c r="A7956" s="32"/>
      <c r="B7956" s="32"/>
    </row>
    <row r="7957" spans="1:2" x14ac:dyDescent="0.35">
      <c r="A7957" s="32"/>
      <c r="B7957" s="32"/>
    </row>
    <row r="7958" spans="1:2" x14ac:dyDescent="0.35">
      <c r="A7958" s="32"/>
      <c r="B7958" s="32"/>
    </row>
    <row r="7959" spans="1:2" x14ac:dyDescent="0.35">
      <c r="A7959" s="32"/>
      <c r="B7959" s="32"/>
    </row>
    <row r="7960" spans="1:2" x14ac:dyDescent="0.35">
      <c r="A7960" s="32"/>
      <c r="B7960" s="32"/>
    </row>
    <row r="7961" spans="1:2" x14ac:dyDescent="0.35">
      <c r="A7961" s="32"/>
      <c r="B7961" s="32"/>
    </row>
    <row r="7962" spans="1:2" x14ac:dyDescent="0.35">
      <c r="A7962" s="32"/>
      <c r="B7962" s="32"/>
    </row>
    <row r="7963" spans="1:2" x14ac:dyDescent="0.35">
      <c r="A7963" s="32"/>
      <c r="B7963" s="32"/>
    </row>
    <row r="7964" spans="1:2" x14ac:dyDescent="0.35">
      <c r="A7964" s="32"/>
      <c r="B7964" s="32"/>
    </row>
    <row r="7965" spans="1:2" x14ac:dyDescent="0.35">
      <c r="A7965" s="32"/>
      <c r="B7965" s="32"/>
    </row>
    <row r="7966" spans="1:2" x14ac:dyDescent="0.35">
      <c r="A7966" s="32"/>
      <c r="B7966" s="32"/>
    </row>
    <row r="7967" spans="1:2" x14ac:dyDescent="0.35">
      <c r="A7967" s="32"/>
      <c r="B7967" s="32"/>
    </row>
    <row r="7968" spans="1:2" x14ac:dyDescent="0.35">
      <c r="A7968" s="32"/>
      <c r="B7968" s="32"/>
    </row>
    <row r="7969" spans="1:2" x14ac:dyDescent="0.35">
      <c r="A7969" s="32"/>
      <c r="B7969" s="32"/>
    </row>
    <row r="7970" spans="1:2" x14ac:dyDescent="0.35">
      <c r="A7970" s="32"/>
      <c r="B7970" s="32"/>
    </row>
    <row r="7971" spans="1:2" x14ac:dyDescent="0.35">
      <c r="A7971" s="32"/>
      <c r="B7971" s="32"/>
    </row>
    <row r="7972" spans="1:2" x14ac:dyDescent="0.35">
      <c r="A7972" s="32"/>
      <c r="B7972" s="32"/>
    </row>
    <row r="7973" spans="1:2" x14ac:dyDescent="0.35">
      <c r="A7973" s="32"/>
      <c r="B7973" s="32"/>
    </row>
    <row r="7974" spans="1:2" x14ac:dyDescent="0.35">
      <c r="A7974" s="32"/>
      <c r="B7974" s="32"/>
    </row>
    <row r="7975" spans="1:2" x14ac:dyDescent="0.35">
      <c r="A7975" s="32"/>
      <c r="B7975" s="32"/>
    </row>
    <row r="7976" spans="1:2" x14ac:dyDescent="0.35">
      <c r="A7976" s="32"/>
      <c r="B7976" s="32"/>
    </row>
    <row r="7977" spans="1:2" x14ac:dyDescent="0.35">
      <c r="A7977" s="32"/>
      <c r="B7977" s="32"/>
    </row>
    <row r="7978" spans="1:2" x14ac:dyDescent="0.35">
      <c r="A7978" s="32"/>
      <c r="B7978" s="32"/>
    </row>
    <row r="7979" spans="1:2" x14ac:dyDescent="0.35">
      <c r="A7979" s="32"/>
      <c r="B7979" s="32"/>
    </row>
    <row r="7980" spans="1:2" x14ac:dyDescent="0.35">
      <c r="A7980" s="32"/>
      <c r="B7980" s="32"/>
    </row>
    <row r="7981" spans="1:2" x14ac:dyDescent="0.35">
      <c r="A7981" s="32"/>
      <c r="B7981" s="32"/>
    </row>
    <row r="7982" spans="1:2" x14ac:dyDescent="0.35">
      <c r="A7982" s="32"/>
      <c r="B7982" s="32"/>
    </row>
    <row r="7983" spans="1:2" x14ac:dyDescent="0.35">
      <c r="A7983" s="32"/>
      <c r="B7983" s="32"/>
    </row>
    <row r="7984" spans="1:2" x14ac:dyDescent="0.35">
      <c r="A7984" s="32"/>
      <c r="B7984" s="32"/>
    </row>
    <row r="7985" spans="1:2" x14ac:dyDescent="0.35">
      <c r="A7985" s="32"/>
      <c r="B7985" s="32"/>
    </row>
    <row r="7986" spans="1:2" x14ac:dyDescent="0.35">
      <c r="A7986" s="32"/>
      <c r="B7986" s="32"/>
    </row>
    <row r="7987" spans="1:2" x14ac:dyDescent="0.35">
      <c r="A7987" s="32"/>
      <c r="B7987" s="32"/>
    </row>
    <row r="7988" spans="1:2" x14ac:dyDescent="0.35">
      <c r="A7988" s="32"/>
      <c r="B7988" s="32"/>
    </row>
    <row r="7989" spans="1:2" x14ac:dyDescent="0.35">
      <c r="A7989" s="32"/>
      <c r="B7989" s="32"/>
    </row>
    <row r="7990" spans="1:2" x14ac:dyDescent="0.35">
      <c r="A7990" s="32"/>
      <c r="B7990" s="32"/>
    </row>
    <row r="7991" spans="1:2" x14ac:dyDescent="0.35">
      <c r="A7991" s="32"/>
      <c r="B7991" s="32"/>
    </row>
    <row r="7992" spans="1:2" x14ac:dyDescent="0.35">
      <c r="A7992" s="32"/>
      <c r="B7992" s="32"/>
    </row>
    <row r="7993" spans="1:2" x14ac:dyDescent="0.35">
      <c r="A7993" s="32"/>
      <c r="B7993" s="32"/>
    </row>
    <row r="7994" spans="1:2" x14ac:dyDescent="0.35">
      <c r="A7994" s="32"/>
      <c r="B7994" s="32"/>
    </row>
    <row r="7995" spans="1:2" x14ac:dyDescent="0.35">
      <c r="A7995" s="32"/>
      <c r="B7995" s="32"/>
    </row>
    <row r="7996" spans="1:2" x14ac:dyDescent="0.35">
      <c r="A7996" s="32"/>
      <c r="B7996" s="32"/>
    </row>
    <row r="7997" spans="1:2" x14ac:dyDescent="0.35">
      <c r="A7997" s="32"/>
      <c r="B7997" s="32"/>
    </row>
    <row r="7998" spans="1:2" x14ac:dyDescent="0.35">
      <c r="A7998" s="32"/>
      <c r="B7998" s="32"/>
    </row>
    <row r="7999" spans="1:2" x14ac:dyDescent="0.35">
      <c r="A7999" s="32"/>
      <c r="B7999" s="32"/>
    </row>
    <row r="8000" spans="1:2" x14ac:dyDescent="0.35">
      <c r="A8000" s="32"/>
      <c r="B8000" s="32"/>
    </row>
    <row r="8001" spans="1:2" x14ac:dyDescent="0.35">
      <c r="A8001" s="32"/>
      <c r="B8001" s="32"/>
    </row>
    <row r="8002" spans="1:2" x14ac:dyDescent="0.35">
      <c r="A8002" s="32"/>
      <c r="B8002" s="32"/>
    </row>
    <row r="8003" spans="1:2" x14ac:dyDescent="0.35">
      <c r="A8003" s="32"/>
      <c r="B8003" s="32"/>
    </row>
    <row r="8004" spans="1:2" x14ac:dyDescent="0.35">
      <c r="A8004" s="32"/>
      <c r="B8004" s="32"/>
    </row>
    <row r="8005" spans="1:2" x14ac:dyDescent="0.35">
      <c r="A8005" s="32"/>
      <c r="B8005" s="32"/>
    </row>
    <row r="8006" spans="1:2" x14ac:dyDescent="0.35">
      <c r="A8006" s="32"/>
      <c r="B8006" s="32"/>
    </row>
    <row r="8007" spans="1:2" x14ac:dyDescent="0.35">
      <c r="A8007" s="32"/>
      <c r="B8007" s="32"/>
    </row>
    <row r="8008" spans="1:2" x14ac:dyDescent="0.35">
      <c r="A8008" s="32"/>
      <c r="B8008" s="32"/>
    </row>
    <row r="8009" spans="1:2" x14ac:dyDescent="0.35">
      <c r="A8009" s="32"/>
      <c r="B8009" s="32"/>
    </row>
    <row r="8010" spans="1:2" x14ac:dyDescent="0.35">
      <c r="A8010" s="32"/>
      <c r="B8010" s="32"/>
    </row>
    <row r="8011" spans="1:2" x14ac:dyDescent="0.35">
      <c r="A8011" s="32"/>
      <c r="B8011" s="32"/>
    </row>
    <row r="8012" spans="1:2" x14ac:dyDescent="0.35">
      <c r="A8012" s="32"/>
      <c r="B8012" s="32"/>
    </row>
    <row r="8013" spans="1:2" x14ac:dyDescent="0.35">
      <c r="A8013" s="32"/>
      <c r="B8013" s="32"/>
    </row>
    <row r="8014" spans="1:2" x14ac:dyDescent="0.35">
      <c r="A8014" s="32"/>
      <c r="B8014" s="32"/>
    </row>
    <row r="8015" spans="1:2" x14ac:dyDescent="0.35">
      <c r="A8015" s="32"/>
      <c r="B8015" s="32"/>
    </row>
    <row r="8016" spans="1:2" x14ac:dyDescent="0.35">
      <c r="A8016" s="32"/>
      <c r="B8016" s="32"/>
    </row>
    <row r="8017" spans="1:2" x14ac:dyDescent="0.35">
      <c r="A8017" s="32"/>
      <c r="B8017" s="32"/>
    </row>
    <row r="8018" spans="1:2" x14ac:dyDescent="0.35">
      <c r="A8018" s="32"/>
      <c r="B8018" s="32"/>
    </row>
    <row r="8019" spans="1:2" x14ac:dyDescent="0.35">
      <c r="A8019" s="32"/>
      <c r="B8019" s="32"/>
    </row>
    <row r="8020" spans="1:2" x14ac:dyDescent="0.35">
      <c r="A8020" s="32"/>
      <c r="B8020" s="32"/>
    </row>
    <row r="8021" spans="1:2" x14ac:dyDescent="0.35">
      <c r="A8021" s="32"/>
      <c r="B8021" s="32"/>
    </row>
    <row r="8022" spans="1:2" x14ac:dyDescent="0.35">
      <c r="A8022" s="32"/>
      <c r="B8022" s="32"/>
    </row>
    <row r="8023" spans="1:2" x14ac:dyDescent="0.35">
      <c r="A8023" s="32"/>
      <c r="B8023" s="32"/>
    </row>
    <row r="8024" spans="1:2" x14ac:dyDescent="0.35">
      <c r="A8024" s="32"/>
      <c r="B8024" s="32"/>
    </row>
    <row r="8025" spans="1:2" x14ac:dyDescent="0.35">
      <c r="A8025" s="32"/>
      <c r="B8025" s="32"/>
    </row>
    <row r="8026" spans="1:2" x14ac:dyDescent="0.35">
      <c r="A8026" s="32"/>
      <c r="B8026" s="32"/>
    </row>
    <row r="8027" spans="1:2" x14ac:dyDescent="0.35">
      <c r="A8027" s="32"/>
      <c r="B8027" s="32"/>
    </row>
    <row r="8028" spans="1:2" x14ac:dyDescent="0.35">
      <c r="A8028" s="32"/>
      <c r="B8028" s="32"/>
    </row>
    <row r="8029" spans="1:2" x14ac:dyDescent="0.35">
      <c r="A8029" s="32"/>
      <c r="B8029" s="32"/>
    </row>
    <row r="8030" spans="1:2" x14ac:dyDescent="0.35">
      <c r="A8030" s="32"/>
      <c r="B8030" s="32"/>
    </row>
    <row r="8031" spans="1:2" x14ac:dyDescent="0.35">
      <c r="A8031" s="32"/>
      <c r="B8031" s="32"/>
    </row>
    <row r="8032" spans="1:2" x14ac:dyDescent="0.35">
      <c r="A8032" s="32"/>
      <c r="B8032" s="32"/>
    </row>
    <row r="8033" spans="1:2" x14ac:dyDescent="0.35">
      <c r="A8033" s="32"/>
      <c r="B8033" s="32"/>
    </row>
    <row r="8034" spans="1:2" x14ac:dyDescent="0.35">
      <c r="A8034" s="32"/>
      <c r="B8034" s="32"/>
    </row>
    <row r="8035" spans="1:2" x14ac:dyDescent="0.35">
      <c r="A8035" s="32"/>
      <c r="B8035" s="32"/>
    </row>
    <row r="8036" spans="1:2" x14ac:dyDescent="0.35">
      <c r="A8036" s="32"/>
      <c r="B8036" s="32"/>
    </row>
    <row r="8037" spans="1:2" x14ac:dyDescent="0.35">
      <c r="A8037" s="32"/>
      <c r="B8037" s="32"/>
    </row>
    <row r="8038" spans="1:2" x14ac:dyDescent="0.35">
      <c r="A8038" s="32"/>
      <c r="B8038" s="32"/>
    </row>
    <row r="8039" spans="1:2" x14ac:dyDescent="0.35">
      <c r="A8039" s="32"/>
      <c r="B8039" s="32"/>
    </row>
    <row r="8040" spans="1:2" x14ac:dyDescent="0.35">
      <c r="A8040" s="32"/>
      <c r="B8040" s="32"/>
    </row>
    <row r="8041" spans="1:2" x14ac:dyDescent="0.35">
      <c r="A8041" s="32"/>
      <c r="B8041" s="32"/>
    </row>
    <row r="8042" spans="1:2" x14ac:dyDescent="0.35">
      <c r="A8042" s="32"/>
      <c r="B8042" s="32"/>
    </row>
    <row r="8043" spans="1:2" x14ac:dyDescent="0.35">
      <c r="A8043" s="32"/>
      <c r="B8043" s="32"/>
    </row>
    <row r="8044" spans="1:2" x14ac:dyDescent="0.35">
      <c r="A8044" s="32"/>
      <c r="B8044" s="32"/>
    </row>
    <row r="8045" spans="1:2" x14ac:dyDescent="0.35">
      <c r="A8045" s="32"/>
      <c r="B8045" s="32"/>
    </row>
    <row r="8046" spans="1:2" x14ac:dyDescent="0.35">
      <c r="A8046" s="32"/>
      <c r="B8046" s="32"/>
    </row>
    <row r="8047" spans="1:2" x14ac:dyDescent="0.35">
      <c r="A8047" s="32"/>
      <c r="B8047" s="32"/>
    </row>
    <row r="8048" spans="1:2" x14ac:dyDescent="0.35">
      <c r="A8048" s="32"/>
      <c r="B8048" s="32"/>
    </row>
    <row r="8049" spans="1:2" x14ac:dyDescent="0.35">
      <c r="A8049" s="32"/>
      <c r="B8049" s="32"/>
    </row>
    <row r="8050" spans="1:2" x14ac:dyDescent="0.35">
      <c r="A8050" s="32"/>
      <c r="B8050" s="32"/>
    </row>
    <row r="8051" spans="1:2" x14ac:dyDescent="0.35">
      <c r="A8051" s="32"/>
      <c r="B8051" s="32"/>
    </row>
    <row r="8052" spans="1:2" x14ac:dyDescent="0.35">
      <c r="A8052" s="32"/>
      <c r="B8052" s="32"/>
    </row>
    <row r="8053" spans="1:2" x14ac:dyDescent="0.35">
      <c r="A8053" s="32"/>
      <c r="B8053" s="32"/>
    </row>
    <row r="8054" spans="1:2" x14ac:dyDescent="0.35">
      <c r="A8054" s="32"/>
      <c r="B8054" s="32"/>
    </row>
    <row r="8055" spans="1:2" x14ac:dyDescent="0.35">
      <c r="A8055" s="32"/>
      <c r="B8055" s="32"/>
    </row>
    <row r="8056" spans="1:2" x14ac:dyDescent="0.35">
      <c r="A8056" s="32"/>
      <c r="B8056" s="32"/>
    </row>
    <row r="8057" spans="1:2" x14ac:dyDescent="0.35">
      <c r="A8057" s="32"/>
      <c r="B8057" s="32"/>
    </row>
    <row r="8058" spans="1:2" x14ac:dyDescent="0.35">
      <c r="A8058" s="32"/>
      <c r="B8058" s="32"/>
    </row>
    <row r="8059" spans="1:2" x14ac:dyDescent="0.35">
      <c r="A8059" s="32"/>
      <c r="B8059" s="32"/>
    </row>
    <row r="8060" spans="1:2" x14ac:dyDescent="0.35">
      <c r="A8060" s="32"/>
      <c r="B8060" s="32"/>
    </row>
    <row r="8061" spans="1:2" x14ac:dyDescent="0.35">
      <c r="A8061" s="32"/>
      <c r="B8061" s="32"/>
    </row>
    <row r="8062" spans="1:2" x14ac:dyDescent="0.35">
      <c r="A8062" s="32"/>
      <c r="B8062" s="32"/>
    </row>
    <row r="8063" spans="1:2" x14ac:dyDescent="0.35">
      <c r="A8063" s="32"/>
      <c r="B8063" s="32"/>
    </row>
    <row r="8064" spans="1:2" x14ac:dyDescent="0.35">
      <c r="A8064" s="32"/>
      <c r="B8064" s="32"/>
    </row>
    <row r="8065" spans="1:2" x14ac:dyDescent="0.35">
      <c r="A8065" s="32"/>
      <c r="B8065" s="32"/>
    </row>
    <row r="8066" spans="1:2" x14ac:dyDescent="0.35">
      <c r="A8066" s="32"/>
      <c r="B8066" s="32"/>
    </row>
    <row r="8067" spans="1:2" x14ac:dyDescent="0.35">
      <c r="A8067" s="32"/>
      <c r="B8067" s="32"/>
    </row>
    <row r="8068" spans="1:2" x14ac:dyDescent="0.35">
      <c r="A8068" s="32"/>
      <c r="B8068" s="32"/>
    </row>
    <row r="8069" spans="1:2" x14ac:dyDescent="0.35">
      <c r="A8069" s="32"/>
      <c r="B8069" s="32"/>
    </row>
    <row r="8070" spans="1:2" x14ac:dyDescent="0.35">
      <c r="A8070" s="32"/>
      <c r="B8070" s="32"/>
    </row>
    <row r="8071" spans="1:2" x14ac:dyDescent="0.35">
      <c r="A8071" s="32"/>
      <c r="B8071" s="32"/>
    </row>
    <row r="8072" spans="1:2" x14ac:dyDescent="0.35">
      <c r="A8072" s="32"/>
      <c r="B8072" s="32"/>
    </row>
    <row r="8073" spans="1:2" x14ac:dyDescent="0.35">
      <c r="A8073" s="32"/>
      <c r="B8073" s="32"/>
    </row>
    <row r="8074" spans="1:2" x14ac:dyDescent="0.35">
      <c r="A8074" s="32"/>
      <c r="B8074" s="32"/>
    </row>
    <row r="8075" spans="1:2" x14ac:dyDescent="0.35">
      <c r="A8075" s="32"/>
      <c r="B8075" s="32"/>
    </row>
    <row r="8076" spans="1:2" x14ac:dyDescent="0.35">
      <c r="A8076" s="32"/>
      <c r="B8076" s="32"/>
    </row>
    <row r="8077" spans="1:2" x14ac:dyDescent="0.35">
      <c r="A8077" s="32"/>
      <c r="B8077" s="32"/>
    </row>
    <row r="8078" spans="1:2" x14ac:dyDescent="0.35">
      <c r="A8078" s="32"/>
      <c r="B8078" s="32"/>
    </row>
    <row r="8079" spans="1:2" x14ac:dyDescent="0.35">
      <c r="A8079" s="32"/>
      <c r="B8079" s="32"/>
    </row>
    <row r="8080" spans="1:2" x14ac:dyDescent="0.35">
      <c r="A8080" s="32"/>
      <c r="B8080" s="32"/>
    </row>
    <row r="8081" spans="1:2" x14ac:dyDescent="0.35">
      <c r="A8081" s="32"/>
      <c r="B8081" s="32"/>
    </row>
    <row r="8082" spans="1:2" x14ac:dyDescent="0.35">
      <c r="A8082" s="32"/>
      <c r="B8082" s="32"/>
    </row>
    <row r="8083" spans="1:2" x14ac:dyDescent="0.35">
      <c r="A8083" s="32"/>
      <c r="B8083" s="32"/>
    </row>
    <row r="8084" spans="1:2" x14ac:dyDescent="0.35">
      <c r="A8084" s="32"/>
      <c r="B8084" s="32"/>
    </row>
    <row r="8085" spans="1:2" x14ac:dyDescent="0.35">
      <c r="A8085" s="32"/>
      <c r="B8085" s="32"/>
    </row>
    <row r="8086" spans="1:2" x14ac:dyDescent="0.35">
      <c r="A8086" s="32"/>
      <c r="B8086" s="32"/>
    </row>
    <row r="8087" spans="1:2" x14ac:dyDescent="0.35">
      <c r="A8087" s="32"/>
      <c r="B8087" s="32"/>
    </row>
    <row r="8088" spans="1:2" x14ac:dyDescent="0.35">
      <c r="A8088" s="32"/>
      <c r="B8088" s="32"/>
    </row>
    <row r="8089" spans="1:2" x14ac:dyDescent="0.35">
      <c r="A8089" s="32"/>
      <c r="B8089" s="32"/>
    </row>
    <row r="8090" spans="1:2" x14ac:dyDescent="0.35">
      <c r="A8090" s="32"/>
      <c r="B8090" s="32"/>
    </row>
    <row r="8091" spans="1:2" x14ac:dyDescent="0.35">
      <c r="A8091" s="32"/>
      <c r="B8091" s="32"/>
    </row>
    <row r="8092" spans="1:2" x14ac:dyDescent="0.35">
      <c r="A8092" s="32"/>
      <c r="B8092" s="32"/>
    </row>
    <row r="8093" spans="1:2" x14ac:dyDescent="0.35">
      <c r="A8093" s="32"/>
      <c r="B8093" s="32"/>
    </row>
    <row r="8094" spans="1:2" x14ac:dyDescent="0.35">
      <c r="A8094" s="32"/>
      <c r="B8094" s="32"/>
    </row>
    <row r="8095" spans="1:2" x14ac:dyDescent="0.35">
      <c r="A8095" s="32"/>
      <c r="B8095" s="32"/>
    </row>
    <row r="8096" spans="1:2" x14ac:dyDescent="0.35">
      <c r="A8096" s="32"/>
      <c r="B8096" s="32"/>
    </row>
    <row r="8097" spans="1:2" x14ac:dyDescent="0.35">
      <c r="A8097" s="32"/>
      <c r="B8097" s="32"/>
    </row>
    <row r="8098" spans="1:2" x14ac:dyDescent="0.35">
      <c r="A8098" s="32"/>
      <c r="B8098" s="32"/>
    </row>
    <row r="8099" spans="1:2" x14ac:dyDescent="0.35">
      <c r="A8099" s="32"/>
      <c r="B8099" s="32"/>
    </row>
    <row r="8100" spans="1:2" x14ac:dyDescent="0.35">
      <c r="A8100" s="32"/>
      <c r="B8100" s="32"/>
    </row>
    <row r="8101" spans="1:2" x14ac:dyDescent="0.35">
      <c r="A8101" s="32"/>
      <c r="B8101" s="32"/>
    </row>
    <row r="8102" spans="1:2" x14ac:dyDescent="0.35">
      <c r="A8102" s="32"/>
      <c r="B8102" s="32"/>
    </row>
    <row r="8103" spans="1:2" x14ac:dyDescent="0.35">
      <c r="A8103" s="32"/>
      <c r="B8103" s="32"/>
    </row>
    <row r="8104" spans="1:2" x14ac:dyDescent="0.35">
      <c r="A8104" s="32"/>
      <c r="B8104" s="32"/>
    </row>
    <row r="8105" spans="1:2" x14ac:dyDescent="0.35">
      <c r="A8105" s="32"/>
      <c r="B8105" s="32"/>
    </row>
    <row r="8106" spans="1:2" x14ac:dyDescent="0.35">
      <c r="A8106" s="32"/>
      <c r="B8106" s="32"/>
    </row>
    <row r="8107" spans="1:2" x14ac:dyDescent="0.35">
      <c r="A8107" s="32"/>
      <c r="B8107" s="32"/>
    </row>
    <row r="8108" spans="1:2" x14ac:dyDescent="0.35">
      <c r="A8108" s="32"/>
      <c r="B8108" s="32"/>
    </row>
    <row r="8109" spans="1:2" x14ac:dyDescent="0.35">
      <c r="A8109" s="32"/>
      <c r="B8109" s="32"/>
    </row>
    <row r="8110" spans="1:2" x14ac:dyDescent="0.35">
      <c r="A8110" s="32"/>
      <c r="B8110" s="32"/>
    </row>
    <row r="8111" spans="1:2" x14ac:dyDescent="0.35">
      <c r="A8111" s="32"/>
      <c r="B8111" s="32"/>
    </row>
    <row r="8112" spans="1:2" x14ac:dyDescent="0.35">
      <c r="A8112" s="32"/>
      <c r="B8112" s="32"/>
    </row>
    <row r="8113" spans="1:2" x14ac:dyDescent="0.35">
      <c r="A8113" s="32"/>
      <c r="B8113" s="32"/>
    </row>
    <row r="8114" spans="1:2" x14ac:dyDescent="0.35">
      <c r="A8114" s="32"/>
      <c r="B8114" s="32"/>
    </row>
    <row r="8115" spans="1:2" x14ac:dyDescent="0.35">
      <c r="A8115" s="32"/>
      <c r="B8115" s="32"/>
    </row>
    <row r="8116" spans="1:2" x14ac:dyDescent="0.35">
      <c r="A8116" s="32"/>
      <c r="B8116" s="32"/>
    </row>
    <row r="8117" spans="1:2" x14ac:dyDescent="0.35">
      <c r="A8117" s="32"/>
      <c r="B8117" s="32"/>
    </row>
    <row r="8118" spans="1:2" x14ac:dyDescent="0.35">
      <c r="A8118" s="32"/>
      <c r="B8118" s="32"/>
    </row>
    <row r="8119" spans="1:2" x14ac:dyDescent="0.35">
      <c r="A8119" s="32"/>
      <c r="B8119" s="32"/>
    </row>
    <row r="8120" spans="1:2" x14ac:dyDescent="0.35">
      <c r="A8120" s="32"/>
      <c r="B8120" s="32"/>
    </row>
    <row r="8121" spans="1:2" x14ac:dyDescent="0.35">
      <c r="A8121" s="32"/>
      <c r="B8121" s="32"/>
    </row>
    <row r="8122" spans="1:2" x14ac:dyDescent="0.35">
      <c r="A8122" s="32"/>
      <c r="B8122" s="32"/>
    </row>
    <row r="8123" spans="1:2" x14ac:dyDescent="0.35">
      <c r="A8123" s="32"/>
      <c r="B8123" s="32"/>
    </row>
    <row r="8124" spans="1:2" x14ac:dyDescent="0.35">
      <c r="A8124" s="32"/>
      <c r="B8124" s="32"/>
    </row>
    <row r="8125" spans="1:2" x14ac:dyDescent="0.35">
      <c r="A8125" s="32"/>
      <c r="B8125" s="32"/>
    </row>
    <row r="8126" spans="1:2" x14ac:dyDescent="0.35">
      <c r="A8126" s="32"/>
      <c r="B8126" s="32"/>
    </row>
    <row r="8127" spans="1:2" x14ac:dyDescent="0.35">
      <c r="A8127" s="32"/>
      <c r="B8127" s="32"/>
    </row>
    <row r="8128" spans="1:2" x14ac:dyDescent="0.35">
      <c r="A8128" s="32"/>
      <c r="B8128" s="32"/>
    </row>
    <row r="8129" spans="1:2" x14ac:dyDescent="0.35">
      <c r="A8129" s="32"/>
      <c r="B8129" s="32"/>
    </row>
    <row r="8130" spans="1:2" x14ac:dyDescent="0.35">
      <c r="A8130" s="32"/>
      <c r="B8130" s="32"/>
    </row>
    <row r="8131" spans="1:2" x14ac:dyDescent="0.35">
      <c r="A8131" s="32"/>
      <c r="B8131" s="32"/>
    </row>
    <row r="8132" spans="1:2" x14ac:dyDescent="0.35">
      <c r="A8132" s="32"/>
      <c r="B8132" s="32"/>
    </row>
    <row r="8133" spans="1:2" x14ac:dyDescent="0.35">
      <c r="A8133" s="32"/>
      <c r="B8133" s="32"/>
    </row>
    <row r="8134" spans="1:2" x14ac:dyDescent="0.35">
      <c r="A8134" s="32"/>
      <c r="B8134" s="32"/>
    </row>
    <row r="8135" spans="1:2" x14ac:dyDescent="0.35">
      <c r="A8135" s="32"/>
      <c r="B8135" s="32"/>
    </row>
    <row r="8136" spans="1:2" x14ac:dyDescent="0.35">
      <c r="A8136" s="32"/>
      <c r="B8136" s="32"/>
    </row>
    <row r="8137" spans="1:2" x14ac:dyDescent="0.35">
      <c r="A8137" s="32"/>
      <c r="B8137" s="32"/>
    </row>
    <row r="8138" spans="1:2" x14ac:dyDescent="0.35">
      <c r="A8138" s="32"/>
      <c r="B8138" s="32"/>
    </row>
    <row r="8139" spans="1:2" x14ac:dyDescent="0.35">
      <c r="A8139" s="32"/>
      <c r="B8139" s="32"/>
    </row>
    <row r="8140" spans="1:2" x14ac:dyDescent="0.35">
      <c r="A8140" s="32"/>
      <c r="B8140" s="32"/>
    </row>
    <row r="8141" spans="1:2" x14ac:dyDescent="0.35">
      <c r="A8141" s="32"/>
      <c r="B8141" s="32"/>
    </row>
    <row r="8142" spans="1:2" x14ac:dyDescent="0.35">
      <c r="A8142" s="32"/>
      <c r="B8142" s="32"/>
    </row>
    <row r="8143" spans="1:2" x14ac:dyDescent="0.35">
      <c r="A8143" s="32"/>
      <c r="B8143" s="32"/>
    </row>
    <row r="8144" spans="1:2" x14ac:dyDescent="0.35">
      <c r="A8144" s="32"/>
      <c r="B8144" s="32"/>
    </row>
    <row r="8145" spans="1:2" x14ac:dyDescent="0.35">
      <c r="A8145" s="32"/>
      <c r="B8145" s="32"/>
    </row>
    <row r="8146" spans="1:2" x14ac:dyDescent="0.35">
      <c r="A8146" s="32"/>
      <c r="B8146" s="32"/>
    </row>
    <row r="8147" spans="1:2" x14ac:dyDescent="0.35">
      <c r="A8147" s="32"/>
      <c r="B8147" s="32"/>
    </row>
    <row r="8148" spans="1:2" x14ac:dyDescent="0.35">
      <c r="A8148" s="32"/>
      <c r="B8148" s="32"/>
    </row>
    <row r="8149" spans="1:2" x14ac:dyDescent="0.35">
      <c r="A8149" s="32"/>
      <c r="B8149" s="32"/>
    </row>
    <row r="8150" spans="1:2" x14ac:dyDescent="0.35">
      <c r="A8150" s="32"/>
      <c r="B8150" s="32"/>
    </row>
    <row r="8151" spans="1:2" x14ac:dyDescent="0.35">
      <c r="A8151" s="32"/>
      <c r="B8151" s="32"/>
    </row>
    <row r="8152" spans="1:2" x14ac:dyDescent="0.35">
      <c r="A8152" s="32"/>
      <c r="B8152" s="32"/>
    </row>
    <row r="8153" spans="1:2" x14ac:dyDescent="0.35">
      <c r="A8153" s="32"/>
      <c r="B8153" s="32"/>
    </row>
    <row r="8154" spans="1:2" x14ac:dyDescent="0.35">
      <c r="A8154" s="32"/>
      <c r="B8154" s="32"/>
    </row>
    <row r="8155" spans="1:2" x14ac:dyDescent="0.35">
      <c r="A8155" s="32"/>
      <c r="B8155" s="32"/>
    </row>
    <row r="8156" spans="1:2" x14ac:dyDescent="0.35">
      <c r="A8156" s="32"/>
      <c r="B8156" s="32"/>
    </row>
    <row r="8157" spans="1:2" x14ac:dyDescent="0.35">
      <c r="A8157" s="32"/>
      <c r="B8157" s="32"/>
    </row>
    <row r="8158" spans="1:2" x14ac:dyDescent="0.35">
      <c r="A8158" s="32"/>
      <c r="B8158" s="32"/>
    </row>
    <row r="8159" spans="1:2" x14ac:dyDescent="0.35">
      <c r="A8159" s="32"/>
      <c r="B8159" s="32"/>
    </row>
    <row r="8160" spans="1:2" x14ac:dyDescent="0.35">
      <c r="A8160" s="32"/>
      <c r="B8160" s="32"/>
    </row>
    <row r="8161" spans="1:2" x14ac:dyDescent="0.35">
      <c r="A8161" s="32"/>
      <c r="B8161" s="32"/>
    </row>
    <row r="8162" spans="1:2" x14ac:dyDescent="0.35">
      <c r="A8162" s="32"/>
      <c r="B8162" s="32"/>
    </row>
    <row r="8163" spans="1:2" x14ac:dyDescent="0.35">
      <c r="A8163" s="32"/>
      <c r="B8163" s="32"/>
    </row>
    <row r="8164" spans="1:2" x14ac:dyDescent="0.35">
      <c r="A8164" s="32"/>
      <c r="B8164" s="32"/>
    </row>
    <row r="8165" spans="1:2" x14ac:dyDescent="0.35">
      <c r="A8165" s="32"/>
      <c r="B8165" s="32"/>
    </row>
    <row r="8166" spans="1:2" x14ac:dyDescent="0.35">
      <c r="A8166" s="32"/>
      <c r="B8166" s="32"/>
    </row>
    <row r="8167" spans="1:2" x14ac:dyDescent="0.35">
      <c r="A8167" s="32"/>
      <c r="B8167" s="32"/>
    </row>
    <row r="8168" spans="1:2" x14ac:dyDescent="0.35">
      <c r="A8168" s="32"/>
      <c r="B8168" s="32"/>
    </row>
    <row r="8169" spans="1:2" x14ac:dyDescent="0.35">
      <c r="A8169" s="32"/>
      <c r="B8169" s="32"/>
    </row>
    <row r="8170" spans="1:2" x14ac:dyDescent="0.35">
      <c r="A8170" s="32"/>
      <c r="B8170" s="32"/>
    </row>
    <row r="8171" spans="1:2" x14ac:dyDescent="0.35">
      <c r="A8171" s="32"/>
      <c r="B8171" s="32"/>
    </row>
    <row r="8172" spans="1:2" x14ac:dyDescent="0.35">
      <c r="A8172" s="32"/>
      <c r="B8172" s="32"/>
    </row>
    <row r="8173" spans="1:2" x14ac:dyDescent="0.35">
      <c r="A8173" s="32"/>
      <c r="B8173" s="32"/>
    </row>
    <row r="8174" spans="1:2" x14ac:dyDescent="0.35">
      <c r="A8174" s="32"/>
      <c r="B8174" s="32"/>
    </row>
    <row r="8175" spans="1:2" x14ac:dyDescent="0.35">
      <c r="A8175" s="32"/>
      <c r="B8175" s="32"/>
    </row>
    <row r="8176" spans="1:2" x14ac:dyDescent="0.35">
      <c r="A8176" s="32"/>
      <c r="B8176" s="32"/>
    </row>
    <row r="8177" spans="1:2" x14ac:dyDescent="0.35">
      <c r="A8177" s="32"/>
      <c r="B8177" s="32"/>
    </row>
    <row r="8178" spans="1:2" x14ac:dyDescent="0.35">
      <c r="A8178" s="32"/>
      <c r="B8178" s="32"/>
    </row>
    <row r="8179" spans="1:2" x14ac:dyDescent="0.35">
      <c r="A8179" s="32"/>
      <c r="B8179" s="32"/>
    </row>
    <row r="8180" spans="1:2" x14ac:dyDescent="0.35">
      <c r="A8180" s="32"/>
      <c r="B8180" s="32"/>
    </row>
    <row r="8181" spans="1:2" x14ac:dyDescent="0.35">
      <c r="A8181" s="32"/>
      <c r="B8181" s="32"/>
    </row>
    <row r="8182" spans="1:2" x14ac:dyDescent="0.35">
      <c r="A8182" s="32"/>
      <c r="B8182" s="32"/>
    </row>
    <row r="8183" spans="1:2" x14ac:dyDescent="0.35">
      <c r="A8183" s="32"/>
      <c r="B8183" s="32"/>
    </row>
    <row r="8184" spans="1:2" x14ac:dyDescent="0.35">
      <c r="A8184" s="32"/>
      <c r="B8184" s="32"/>
    </row>
    <row r="8185" spans="1:2" x14ac:dyDescent="0.35">
      <c r="A8185" s="32"/>
      <c r="B8185" s="32"/>
    </row>
    <row r="8186" spans="1:2" x14ac:dyDescent="0.35">
      <c r="A8186" s="32"/>
      <c r="B8186" s="32"/>
    </row>
    <row r="8187" spans="1:2" x14ac:dyDescent="0.35">
      <c r="A8187" s="32"/>
      <c r="B8187" s="32"/>
    </row>
    <row r="8188" spans="1:2" x14ac:dyDescent="0.35">
      <c r="A8188" s="32"/>
      <c r="B8188" s="32"/>
    </row>
    <row r="8189" spans="1:2" x14ac:dyDescent="0.35">
      <c r="A8189" s="32"/>
      <c r="B8189" s="32"/>
    </row>
    <row r="8190" spans="1:2" x14ac:dyDescent="0.35">
      <c r="A8190" s="32"/>
      <c r="B8190" s="32"/>
    </row>
    <row r="8191" spans="1:2" x14ac:dyDescent="0.35">
      <c r="A8191" s="32"/>
      <c r="B8191" s="32"/>
    </row>
    <row r="8192" spans="1:2" x14ac:dyDescent="0.35">
      <c r="A8192" s="32"/>
      <c r="B8192" s="32"/>
    </row>
    <row r="8193" spans="1:2" x14ac:dyDescent="0.35">
      <c r="A8193" s="32"/>
      <c r="B8193" s="32"/>
    </row>
    <row r="8194" spans="1:2" x14ac:dyDescent="0.35">
      <c r="A8194" s="32"/>
      <c r="B8194" s="32"/>
    </row>
    <row r="8195" spans="1:2" x14ac:dyDescent="0.35">
      <c r="A8195" s="32"/>
      <c r="B8195" s="32"/>
    </row>
    <row r="8196" spans="1:2" x14ac:dyDescent="0.35">
      <c r="A8196" s="32"/>
      <c r="B8196" s="32"/>
    </row>
    <row r="8197" spans="1:2" x14ac:dyDescent="0.35">
      <c r="A8197" s="32"/>
      <c r="B8197" s="32"/>
    </row>
    <row r="8198" spans="1:2" x14ac:dyDescent="0.35">
      <c r="A8198" s="32"/>
      <c r="B8198" s="32"/>
    </row>
    <row r="8199" spans="1:2" x14ac:dyDescent="0.35">
      <c r="A8199" s="32"/>
      <c r="B8199" s="32"/>
    </row>
    <row r="8200" spans="1:2" x14ac:dyDescent="0.35">
      <c r="A8200" s="32"/>
      <c r="B8200" s="32"/>
    </row>
    <row r="8201" spans="1:2" x14ac:dyDescent="0.35">
      <c r="A8201" s="32"/>
      <c r="B8201" s="32"/>
    </row>
    <row r="8202" spans="1:2" x14ac:dyDescent="0.35">
      <c r="A8202" s="32"/>
      <c r="B8202" s="32"/>
    </row>
    <row r="8203" spans="1:2" x14ac:dyDescent="0.35">
      <c r="A8203" s="32"/>
      <c r="B8203" s="32"/>
    </row>
    <row r="8204" spans="1:2" x14ac:dyDescent="0.35">
      <c r="A8204" s="32"/>
      <c r="B8204" s="32"/>
    </row>
    <row r="8205" spans="1:2" x14ac:dyDescent="0.35">
      <c r="A8205" s="32"/>
      <c r="B8205" s="32"/>
    </row>
    <row r="8206" spans="1:2" x14ac:dyDescent="0.35">
      <c r="A8206" s="32"/>
      <c r="B8206" s="32"/>
    </row>
    <row r="8207" spans="1:2" x14ac:dyDescent="0.35">
      <c r="A8207" s="32"/>
      <c r="B8207" s="32"/>
    </row>
    <row r="8208" spans="1:2" x14ac:dyDescent="0.35">
      <c r="A8208" s="32"/>
      <c r="B8208" s="32"/>
    </row>
    <row r="8209" spans="1:2" x14ac:dyDescent="0.35">
      <c r="A8209" s="32"/>
      <c r="B8209" s="32"/>
    </row>
    <row r="8210" spans="1:2" x14ac:dyDescent="0.35">
      <c r="A8210" s="32"/>
      <c r="B8210" s="32"/>
    </row>
    <row r="8211" spans="1:2" x14ac:dyDescent="0.35">
      <c r="A8211" s="32"/>
      <c r="B8211" s="32"/>
    </row>
    <row r="8212" spans="1:2" x14ac:dyDescent="0.35">
      <c r="A8212" s="32"/>
      <c r="B8212" s="32"/>
    </row>
    <row r="8213" spans="1:2" x14ac:dyDescent="0.35">
      <c r="A8213" s="32"/>
      <c r="B8213" s="32"/>
    </row>
    <row r="8214" spans="1:2" x14ac:dyDescent="0.35">
      <c r="A8214" s="32"/>
      <c r="B8214" s="32"/>
    </row>
    <row r="8215" spans="1:2" x14ac:dyDescent="0.35">
      <c r="A8215" s="32"/>
      <c r="B8215" s="32"/>
    </row>
    <row r="8216" spans="1:2" x14ac:dyDescent="0.35">
      <c r="A8216" s="32"/>
      <c r="B8216" s="32"/>
    </row>
    <row r="8217" spans="1:2" x14ac:dyDescent="0.35">
      <c r="A8217" s="32"/>
      <c r="B8217" s="32"/>
    </row>
    <row r="8218" spans="1:2" x14ac:dyDescent="0.35">
      <c r="A8218" s="32"/>
      <c r="B8218" s="32"/>
    </row>
    <row r="8219" spans="1:2" x14ac:dyDescent="0.35">
      <c r="A8219" s="32"/>
      <c r="B8219" s="32"/>
    </row>
    <row r="8220" spans="1:2" x14ac:dyDescent="0.35">
      <c r="A8220" s="32"/>
      <c r="B8220" s="32"/>
    </row>
    <row r="8221" spans="1:2" x14ac:dyDescent="0.35">
      <c r="A8221" s="32"/>
      <c r="B8221" s="32"/>
    </row>
    <row r="8222" spans="1:2" x14ac:dyDescent="0.35">
      <c r="A8222" s="32"/>
      <c r="B8222" s="32"/>
    </row>
    <row r="8223" spans="1:2" x14ac:dyDescent="0.35">
      <c r="A8223" s="32"/>
      <c r="B8223" s="32"/>
    </row>
    <row r="8224" spans="1:2" x14ac:dyDescent="0.35">
      <c r="A8224" s="32"/>
      <c r="B8224" s="32"/>
    </row>
    <row r="8225" spans="1:2" x14ac:dyDescent="0.35">
      <c r="A8225" s="32"/>
      <c r="B8225" s="32"/>
    </row>
    <row r="8226" spans="1:2" x14ac:dyDescent="0.35">
      <c r="A8226" s="32"/>
      <c r="B8226" s="32"/>
    </row>
    <row r="8227" spans="1:2" x14ac:dyDescent="0.35">
      <c r="A8227" s="32"/>
      <c r="B8227" s="32"/>
    </row>
    <row r="8228" spans="1:2" x14ac:dyDescent="0.35">
      <c r="A8228" s="32"/>
      <c r="B8228" s="32"/>
    </row>
    <row r="8229" spans="1:2" x14ac:dyDescent="0.35">
      <c r="A8229" s="32"/>
      <c r="B8229" s="32"/>
    </row>
    <row r="8230" spans="1:2" x14ac:dyDescent="0.35">
      <c r="A8230" s="32"/>
      <c r="B8230" s="32"/>
    </row>
    <row r="8231" spans="1:2" x14ac:dyDescent="0.35">
      <c r="A8231" s="32"/>
      <c r="B8231" s="32"/>
    </row>
    <row r="8232" spans="1:2" x14ac:dyDescent="0.35">
      <c r="A8232" s="32"/>
      <c r="B8232" s="32"/>
    </row>
    <row r="8233" spans="1:2" x14ac:dyDescent="0.35">
      <c r="A8233" s="32"/>
      <c r="B8233" s="32"/>
    </row>
    <row r="8234" spans="1:2" x14ac:dyDescent="0.35">
      <c r="A8234" s="32"/>
      <c r="B8234" s="32"/>
    </row>
    <row r="8235" spans="1:2" x14ac:dyDescent="0.35">
      <c r="A8235" s="32"/>
      <c r="B8235" s="32"/>
    </row>
    <row r="8236" spans="1:2" x14ac:dyDescent="0.35">
      <c r="A8236" s="32"/>
      <c r="B8236" s="32"/>
    </row>
    <row r="8237" spans="1:2" x14ac:dyDescent="0.35">
      <c r="A8237" s="32"/>
      <c r="B8237" s="32"/>
    </row>
    <row r="8238" spans="1:2" x14ac:dyDescent="0.35">
      <c r="A8238" s="32"/>
      <c r="B8238" s="32"/>
    </row>
    <row r="8239" spans="1:2" x14ac:dyDescent="0.35">
      <c r="A8239" s="32"/>
      <c r="B8239" s="32"/>
    </row>
    <row r="8240" spans="1:2" x14ac:dyDescent="0.35">
      <c r="A8240" s="32"/>
      <c r="B8240" s="32"/>
    </row>
    <row r="8241" spans="1:2" x14ac:dyDescent="0.35">
      <c r="A8241" s="32"/>
      <c r="B8241" s="32"/>
    </row>
    <row r="8242" spans="1:2" x14ac:dyDescent="0.35">
      <c r="A8242" s="32"/>
      <c r="B8242" s="32"/>
    </row>
    <row r="8243" spans="1:2" x14ac:dyDescent="0.35">
      <c r="A8243" s="32"/>
      <c r="B8243" s="32"/>
    </row>
    <row r="8244" spans="1:2" x14ac:dyDescent="0.35">
      <c r="A8244" s="32"/>
      <c r="B8244" s="32"/>
    </row>
    <row r="8245" spans="1:2" x14ac:dyDescent="0.35">
      <c r="A8245" s="32"/>
      <c r="B8245" s="32"/>
    </row>
    <row r="8246" spans="1:2" x14ac:dyDescent="0.35">
      <c r="A8246" s="32"/>
      <c r="B8246" s="32"/>
    </row>
    <row r="8247" spans="1:2" x14ac:dyDescent="0.35">
      <c r="A8247" s="32"/>
      <c r="B8247" s="32"/>
    </row>
    <row r="8248" spans="1:2" x14ac:dyDescent="0.35">
      <c r="A8248" s="32"/>
      <c r="B8248" s="32"/>
    </row>
    <row r="8249" spans="1:2" x14ac:dyDescent="0.35">
      <c r="A8249" s="32"/>
      <c r="B8249" s="32"/>
    </row>
    <row r="8250" spans="1:2" x14ac:dyDescent="0.35">
      <c r="A8250" s="32"/>
      <c r="B8250" s="32"/>
    </row>
    <row r="8251" spans="1:2" x14ac:dyDescent="0.35">
      <c r="A8251" s="32"/>
      <c r="B8251" s="32"/>
    </row>
    <row r="8252" spans="1:2" x14ac:dyDescent="0.35">
      <c r="A8252" s="32"/>
      <c r="B8252" s="32"/>
    </row>
    <row r="8253" spans="1:2" x14ac:dyDescent="0.35">
      <c r="A8253" s="32"/>
      <c r="B8253" s="32"/>
    </row>
    <row r="8254" spans="1:2" x14ac:dyDescent="0.35">
      <c r="A8254" s="32"/>
      <c r="B8254" s="32"/>
    </row>
    <row r="8255" spans="1:2" x14ac:dyDescent="0.35">
      <c r="A8255" s="32"/>
      <c r="B8255" s="32"/>
    </row>
    <row r="8256" spans="1:2" x14ac:dyDescent="0.35">
      <c r="A8256" s="32"/>
      <c r="B8256" s="32"/>
    </row>
    <row r="8257" spans="1:2" x14ac:dyDescent="0.35">
      <c r="A8257" s="32"/>
      <c r="B8257" s="32"/>
    </row>
    <row r="8258" spans="1:2" x14ac:dyDescent="0.35">
      <c r="A8258" s="32"/>
      <c r="B8258" s="32"/>
    </row>
    <row r="8259" spans="1:2" x14ac:dyDescent="0.35">
      <c r="A8259" s="32"/>
      <c r="B8259" s="32"/>
    </row>
    <row r="8260" spans="1:2" x14ac:dyDescent="0.35">
      <c r="A8260" s="32"/>
      <c r="B8260" s="32"/>
    </row>
    <row r="8261" spans="1:2" x14ac:dyDescent="0.35">
      <c r="A8261" s="32"/>
      <c r="B8261" s="32"/>
    </row>
    <row r="8262" spans="1:2" x14ac:dyDescent="0.35">
      <c r="A8262" s="32"/>
      <c r="B8262" s="32"/>
    </row>
    <row r="8263" spans="1:2" x14ac:dyDescent="0.35">
      <c r="A8263" s="32"/>
      <c r="B8263" s="32"/>
    </row>
    <row r="8264" spans="1:2" x14ac:dyDescent="0.35">
      <c r="A8264" s="32"/>
      <c r="B8264" s="32"/>
    </row>
    <row r="8265" spans="1:2" x14ac:dyDescent="0.35">
      <c r="A8265" s="32"/>
      <c r="B8265" s="32"/>
    </row>
    <row r="8266" spans="1:2" x14ac:dyDescent="0.35">
      <c r="A8266" s="32"/>
      <c r="B8266" s="32"/>
    </row>
    <row r="8267" spans="1:2" x14ac:dyDescent="0.35">
      <c r="A8267" s="32"/>
      <c r="B8267" s="32"/>
    </row>
    <row r="8268" spans="1:2" x14ac:dyDescent="0.35">
      <c r="A8268" s="32"/>
      <c r="B8268" s="32"/>
    </row>
    <row r="8269" spans="1:2" x14ac:dyDescent="0.35">
      <c r="A8269" s="32"/>
      <c r="B8269" s="32"/>
    </row>
    <row r="8270" spans="1:2" x14ac:dyDescent="0.35">
      <c r="A8270" s="32"/>
      <c r="B8270" s="32"/>
    </row>
    <row r="8271" spans="1:2" x14ac:dyDescent="0.35">
      <c r="A8271" s="32"/>
      <c r="B8271" s="32"/>
    </row>
    <row r="8272" spans="1:2" x14ac:dyDescent="0.35">
      <c r="A8272" s="32"/>
      <c r="B8272" s="32"/>
    </row>
    <row r="8273" spans="1:2" x14ac:dyDescent="0.35">
      <c r="A8273" s="32"/>
      <c r="B8273" s="32"/>
    </row>
    <row r="8274" spans="1:2" x14ac:dyDescent="0.35">
      <c r="A8274" s="32"/>
      <c r="B8274" s="32"/>
    </row>
    <row r="8275" spans="1:2" x14ac:dyDescent="0.35">
      <c r="A8275" s="32"/>
      <c r="B8275" s="32"/>
    </row>
    <row r="8276" spans="1:2" x14ac:dyDescent="0.35">
      <c r="A8276" s="32"/>
      <c r="B8276" s="32"/>
    </row>
    <row r="8277" spans="1:2" x14ac:dyDescent="0.35">
      <c r="A8277" s="32"/>
      <c r="B8277" s="32"/>
    </row>
    <row r="8278" spans="1:2" x14ac:dyDescent="0.35">
      <c r="A8278" s="32"/>
      <c r="B8278" s="32"/>
    </row>
    <row r="8279" spans="1:2" x14ac:dyDescent="0.35">
      <c r="A8279" s="32"/>
      <c r="B8279" s="32"/>
    </row>
    <row r="8280" spans="1:2" x14ac:dyDescent="0.35">
      <c r="A8280" s="32"/>
      <c r="B8280" s="32"/>
    </row>
    <row r="8281" spans="1:2" x14ac:dyDescent="0.35">
      <c r="A8281" s="32"/>
      <c r="B8281" s="32"/>
    </row>
    <row r="8282" spans="1:2" x14ac:dyDescent="0.35">
      <c r="A8282" s="32"/>
      <c r="B8282" s="32"/>
    </row>
    <row r="8283" spans="1:2" x14ac:dyDescent="0.35">
      <c r="A8283" s="32"/>
      <c r="B8283" s="32"/>
    </row>
    <row r="8284" spans="1:2" x14ac:dyDescent="0.35">
      <c r="A8284" s="32"/>
      <c r="B8284" s="32"/>
    </row>
    <row r="8285" spans="1:2" x14ac:dyDescent="0.35">
      <c r="A8285" s="32"/>
      <c r="B8285" s="32"/>
    </row>
    <row r="8286" spans="1:2" x14ac:dyDescent="0.35">
      <c r="A8286" s="32"/>
      <c r="B8286" s="32"/>
    </row>
    <row r="8287" spans="1:2" x14ac:dyDescent="0.35">
      <c r="A8287" s="32"/>
      <c r="B8287" s="32"/>
    </row>
    <row r="8288" spans="1:2" x14ac:dyDescent="0.35">
      <c r="A8288" s="32"/>
      <c r="B8288" s="32"/>
    </row>
    <row r="8289" spans="1:2" x14ac:dyDescent="0.35">
      <c r="A8289" s="32"/>
      <c r="B8289" s="32"/>
    </row>
    <row r="8290" spans="1:2" x14ac:dyDescent="0.35">
      <c r="A8290" s="32"/>
      <c r="B8290" s="32"/>
    </row>
    <row r="8291" spans="1:2" x14ac:dyDescent="0.35">
      <c r="A8291" s="32"/>
      <c r="B8291" s="32"/>
    </row>
    <row r="8292" spans="1:2" x14ac:dyDescent="0.35">
      <c r="A8292" s="32"/>
      <c r="B8292" s="32"/>
    </row>
    <row r="8293" spans="1:2" x14ac:dyDescent="0.35">
      <c r="A8293" s="32"/>
      <c r="B8293" s="32"/>
    </row>
    <row r="8294" spans="1:2" x14ac:dyDescent="0.35">
      <c r="A8294" s="32"/>
      <c r="B8294" s="32"/>
    </row>
    <row r="8295" spans="1:2" x14ac:dyDescent="0.35">
      <c r="A8295" s="32"/>
      <c r="B8295" s="32"/>
    </row>
    <row r="8296" spans="1:2" x14ac:dyDescent="0.35">
      <c r="A8296" s="32"/>
      <c r="B8296" s="32"/>
    </row>
    <row r="8297" spans="1:2" x14ac:dyDescent="0.35">
      <c r="A8297" s="32"/>
      <c r="B8297" s="32"/>
    </row>
    <row r="8298" spans="1:2" x14ac:dyDescent="0.35">
      <c r="A8298" s="32"/>
      <c r="B8298" s="32"/>
    </row>
    <row r="8299" spans="1:2" x14ac:dyDescent="0.35">
      <c r="A8299" s="32"/>
      <c r="B8299" s="32"/>
    </row>
    <row r="8300" spans="1:2" x14ac:dyDescent="0.35">
      <c r="A8300" s="32"/>
      <c r="B8300" s="32"/>
    </row>
    <row r="8301" spans="1:2" x14ac:dyDescent="0.35">
      <c r="A8301" s="32"/>
      <c r="B8301" s="32"/>
    </row>
    <row r="8302" spans="1:2" x14ac:dyDescent="0.35">
      <c r="A8302" s="32"/>
      <c r="B8302" s="32"/>
    </row>
    <row r="8303" spans="1:2" x14ac:dyDescent="0.35">
      <c r="A8303" s="32"/>
      <c r="B8303" s="32"/>
    </row>
    <row r="8304" spans="1:2" x14ac:dyDescent="0.35">
      <c r="A8304" s="32"/>
      <c r="B8304" s="32"/>
    </row>
    <row r="8305" spans="1:2" x14ac:dyDescent="0.35">
      <c r="A8305" s="32"/>
      <c r="B8305" s="32"/>
    </row>
    <row r="8306" spans="1:2" x14ac:dyDescent="0.35">
      <c r="A8306" s="32"/>
      <c r="B8306" s="32"/>
    </row>
    <row r="8307" spans="1:2" x14ac:dyDescent="0.35">
      <c r="A8307" s="32"/>
      <c r="B8307" s="32"/>
    </row>
    <row r="8308" spans="1:2" x14ac:dyDescent="0.35">
      <c r="A8308" s="32"/>
      <c r="B8308" s="32"/>
    </row>
    <row r="8309" spans="1:2" x14ac:dyDescent="0.35">
      <c r="A8309" s="32"/>
      <c r="B8309" s="32"/>
    </row>
    <row r="8310" spans="1:2" x14ac:dyDescent="0.35">
      <c r="A8310" s="32"/>
      <c r="B8310" s="32"/>
    </row>
    <row r="8311" spans="1:2" x14ac:dyDescent="0.35">
      <c r="A8311" s="32"/>
      <c r="B8311" s="32"/>
    </row>
    <row r="8312" spans="1:2" x14ac:dyDescent="0.35">
      <c r="A8312" s="32"/>
      <c r="B8312" s="32"/>
    </row>
    <row r="8313" spans="1:2" x14ac:dyDescent="0.35">
      <c r="A8313" s="32"/>
      <c r="B8313" s="32"/>
    </row>
    <row r="8314" spans="1:2" x14ac:dyDescent="0.35">
      <c r="A8314" s="32"/>
      <c r="B8314" s="32"/>
    </row>
    <row r="8315" spans="1:2" x14ac:dyDescent="0.35">
      <c r="A8315" s="32"/>
      <c r="B8315" s="32"/>
    </row>
    <row r="8316" spans="1:2" x14ac:dyDescent="0.35">
      <c r="A8316" s="32"/>
      <c r="B8316" s="32"/>
    </row>
    <row r="8317" spans="1:2" x14ac:dyDescent="0.35">
      <c r="A8317" s="32"/>
      <c r="B8317" s="32"/>
    </row>
    <row r="8318" spans="1:2" x14ac:dyDescent="0.35">
      <c r="A8318" s="32"/>
      <c r="B8318" s="32"/>
    </row>
    <row r="8319" spans="1:2" x14ac:dyDescent="0.35">
      <c r="A8319" s="32"/>
      <c r="B8319" s="32"/>
    </row>
    <row r="8320" spans="1:2" x14ac:dyDescent="0.35">
      <c r="A8320" s="32"/>
      <c r="B8320" s="32"/>
    </row>
    <row r="8321" spans="1:2" x14ac:dyDescent="0.35">
      <c r="A8321" s="32"/>
      <c r="B8321" s="32"/>
    </row>
    <row r="8322" spans="1:2" x14ac:dyDescent="0.35">
      <c r="A8322" s="32"/>
      <c r="B8322" s="32"/>
    </row>
    <row r="8323" spans="1:2" x14ac:dyDescent="0.35">
      <c r="A8323" s="32"/>
      <c r="B8323" s="32"/>
    </row>
    <row r="8324" spans="1:2" x14ac:dyDescent="0.35">
      <c r="A8324" s="32"/>
      <c r="B8324" s="32"/>
    </row>
    <row r="8325" spans="1:2" x14ac:dyDescent="0.35">
      <c r="A8325" s="32"/>
      <c r="B8325" s="32"/>
    </row>
    <row r="8326" spans="1:2" x14ac:dyDescent="0.35">
      <c r="A8326" s="32"/>
      <c r="B8326" s="32"/>
    </row>
    <row r="8327" spans="1:2" x14ac:dyDescent="0.35">
      <c r="A8327" s="32"/>
      <c r="B8327" s="32"/>
    </row>
    <row r="8328" spans="1:2" x14ac:dyDescent="0.35">
      <c r="A8328" s="32"/>
      <c r="B8328" s="32"/>
    </row>
    <row r="8329" spans="1:2" x14ac:dyDescent="0.35">
      <c r="A8329" s="32"/>
      <c r="B8329" s="32"/>
    </row>
    <row r="8330" spans="1:2" x14ac:dyDescent="0.35">
      <c r="A8330" s="32"/>
      <c r="B8330" s="32"/>
    </row>
    <row r="8331" spans="1:2" x14ac:dyDescent="0.35">
      <c r="A8331" s="32"/>
      <c r="B8331" s="32"/>
    </row>
    <row r="8332" spans="1:2" x14ac:dyDescent="0.35">
      <c r="A8332" s="32"/>
      <c r="B8332" s="32"/>
    </row>
    <row r="8333" spans="1:2" x14ac:dyDescent="0.35">
      <c r="A8333" s="32"/>
      <c r="B8333" s="32"/>
    </row>
    <row r="8334" spans="1:2" x14ac:dyDescent="0.35">
      <c r="A8334" s="32"/>
      <c r="B8334" s="32"/>
    </row>
    <row r="8335" spans="1:2" x14ac:dyDescent="0.35">
      <c r="A8335" s="32"/>
      <c r="B8335" s="32"/>
    </row>
    <row r="8336" spans="1:2" x14ac:dyDescent="0.35">
      <c r="A8336" s="32"/>
      <c r="B8336" s="32"/>
    </row>
    <row r="8337" spans="1:2" x14ac:dyDescent="0.35">
      <c r="A8337" s="32"/>
      <c r="B8337" s="32"/>
    </row>
    <row r="8338" spans="1:2" x14ac:dyDescent="0.35">
      <c r="A8338" s="32"/>
      <c r="B8338" s="32"/>
    </row>
    <row r="8339" spans="1:2" x14ac:dyDescent="0.35">
      <c r="A8339" s="32"/>
      <c r="B8339" s="32"/>
    </row>
    <row r="8340" spans="1:2" x14ac:dyDescent="0.35">
      <c r="A8340" s="32"/>
      <c r="B8340" s="32"/>
    </row>
    <row r="8341" spans="1:2" x14ac:dyDescent="0.35">
      <c r="A8341" s="32"/>
      <c r="B8341" s="32"/>
    </row>
    <row r="8342" spans="1:2" x14ac:dyDescent="0.35">
      <c r="A8342" s="32"/>
      <c r="B8342" s="32"/>
    </row>
    <row r="8343" spans="1:2" x14ac:dyDescent="0.35">
      <c r="A8343" s="32"/>
      <c r="B8343" s="32"/>
    </row>
    <row r="8344" spans="1:2" x14ac:dyDescent="0.35">
      <c r="A8344" s="32"/>
      <c r="B8344" s="32"/>
    </row>
    <row r="8345" spans="1:2" x14ac:dyDescent="0.35">
      <c r="A8345" s="32"/>
      <c r="B8345" s="32"/>
    </row>
    <row r="8346" spans="1:2" x14ac:dyDescent="0.35">
      <c r="A8346" s="32"/>
      <c r="B8346" s="32"/>
    </row>
    <row r="8347" spans="1:2" x14ac:dyDescent="0.35">
      <c r="A8347" s="32"/>
      <c r="B8347" s="32"/>
    </row>
    <row r="8348" spans="1:2" x14ac:dyDescent="0.35">
      <c r="A8348" s="32"/>
      <c r="B8348" s="32"/>
    </row>
    <row r="8349" spans="1:2" x14ac:dyDescent="0.35">
      <c r="A8349" s="32"/>
      <c r="B8349" s="32"/>
    </row>
    <row r="8350" spans="1:2" x14ac:dyDescent="0.35">
      <c r="A8350" s="32"/>
      <c r="B8350" s="32"/>
    </row>
    <row r="8351" spans="1:2" x14ac:dyDescent="0.35">
      <c r="A8351" s="32"/>
      <c r="B8351" s="32"/>
    </row>
    <row r="8352" spans="1:2" x14ac:dyDescent="0.35">
      <c r="A8352" s="32"/>
      <c r="B8352" s="32"/>
    </row>
    <row r="8353" spans="1:2" x14ac:dyDescent="0.35">
      <c r="A8353" s="32"/>
      <c r="B8353" s="32"/>
    </row>
    <row r="8354" spans="1:2" x14ac:dyDescent="0.35">
      <c r="A8354" s="32"/>
      <c r="B8354" s="32"/>
    </row>
    <row r="8355" spans="1:2" x14ac:dyDescent="0.35">
      <c r="A8355" s="32"/>
      <c r="B8355" s="32"/>
    </row>
    <row r="8356" spans="1:2" x14ac:dyDescent="0.35">
      <c r="A8356" s="32"/>
      <c r="B8356" s="32"/>
    </row>
    <row r="8357" spans="1:2" x14ac:dyDescent="0.35">
      <c r="A8357" s="32"/>
      <c r="B8357" s="32"/>
    </row>
    <row r="8358" spans="1:2" x14ac:dyDescent="0.35">
      <c r="A8358" s="32"/>
      <c r="B8358" s="32"/>
    </row>
    <row r="8359" spans="1:2" x14ac:dyDescent="0.35">
      <c r="A8359" s="32"/>
      <c r="B8359" s="32"/>
    </row>
    <row r="8360" spans="1:2" x14ac:dyDescent="0.35">
      <c r="A8360" s="32"/>
      <c r="B8360" s="32"/>
    </row>
    <row r="8361" spans="1:2" x14ac:dyDescent="0.35">
      <c r="A8361" s="32"/>
      <c r="B8361" s="32"/>
    </row>
    <row r="8362" spans="1:2" x14ac:dyDescent="0.35">
      <c r="A8362" s="32"/>
      <c r="B8362" s="32"/>
    </row>
    <row r="8363" spans="1:2" x14ac:dyDescent="0.35">
      <c r="A8363" s="32"/>
      <c r="B8363" s="32"/>
    </row>
    <row r="8364" spans="1:2" x14ac:dyDescent="0.35">
      <c r="A8364" s="32"/>
      <c r="B8364" s="32"/>
    </row>
    <row r="8365" spans="1:2" x14ac:dyDescent="0.35">
      <c r="A8365" s="32"/>
      <c r="B8365" s="32"/>
    </row>
    <row r="8366" spans="1:2" x14ac:dyDescent="0.35">
      <c r="A8366" s="32"/>
      <c r="B8366" s="32"/>
    </row>
    <row r="8367" spans="1:2" x14ac:dyDescent="0.35">
      <c r="A8367" s="32"/>
      <c r="B8367" s="32"/>
    </row>
    <row r="8368" spans="1:2" x14ac:dyDescent="0.35">
      <c r="A8368" s="32"/>
      <c r="B8368" s="32"/>
    </row>
    <row r="8369" spans="1:2" x14ac:dyDescent="0.35">
      <c r="A8369" s="32"/>
      <c r="B8369" s="32"/>
    </row>
    <row r="8370" spans="1:2" x14ac:dyDescent="0.35">
      <c r="A8370" s="32"/>
      <c r="B8370" s="32"/>
    </row>
    <row r="8371" spans="1:2" x14ac:dyDescent="0.35">
      <c r="A8371" s="32"/>
      <c r="B8371" s="32"/>
    </row>
    <row r="8372" spans="1:2" x14ac:dyDescent="0.35">
      <c r="A8372" s="32"/>
      <c r="B8372" s="32"/>
    </row>
    <row r="8373" spans="1:2" x14ac:dyDescent="0.35">
      <c r="A8373" s="32"/>
      <c r="B8373" s="32"/>
    </row>
    <row r="8374" spans="1:2" x14ac:dyDescent="0.35">
      <c r="A8374" s="32"/>
      <c r="B8374" s="32"/>
    </row>
    <row r="8375" spans="1:2" x14ac:dyDescent="0.35">
      <c r="A8375" s="32"/>
      <c r="B8375" s="32"/>
    </row>
    <row r="8376" spans="1:2" x14ac:dyDescent="0.35">
      <c r="A8376" s="32"/>
      <c r="B8376" s="32"/>
    </row>
    <row r="8377" spans="1:2" x14ac:dyDescent="0.35">
      <c r="A8377" s="32"/>
      <c r="B8377" s="32"/>
    </row>
    <row r="8378" spans="1:2" x14ac:dyDescent="0.35">
      <c r="A8378" s="32"/>
      <c r="B8378" s="32"/>
    </row>
    <row r="8379" spans="1:2" x14ac:dyDescent="0.35">
      <c r="A8379" s="32"/>
      <c r="B8379" s="32"/>
    </row>
    <row r="8380" spans="1:2" x14ac:dyDescent="0.35">
      <c r="A8380" s="32"/>
      <c r="B8380" s="32"/>
    </row>
    <row r="8381" spans="1:2" x14ac:dyDescent="0.35">
      <c r="A8381" s="32"/>
      <c r="B8381" s="32"/>
    </row>
    <row r="8382" spans="1:2" x14ac:dyDescent="0.35">
      <c r="A8382" s="32"/>
      <c r="B8382" s="32"/>
    </row>
    <row r="8383" spans="1:2" x14ac:dyDescent="0.35">
      <c r="A8383" s="32"/>
      <c r="B8383" s="32"/>
    </row>
    <row r="8384" spans="1:2" x14ac:dyDescent="0.35">
      <c r="A8384" s="32"/>
      <c r="B8384" s="32"/>
    </row>
    <row r="8385" spans="1:2" x14ac:dyDescent="0.35">
      <c r="A8385" s="32"/>
      <c r="B8385" s="32"/>
    </row>
    <row r="8386" spans="1:2" x14ac:dyDescent="0.35">
      <c r="A8386" s="32"/>
      <c r="B8386" s="32"/>
    </row>
    <row r="8387" spans="1:2" x14ac:dyDescent="0.35">
      <c r="A8387" s="32"/>
      <c r="B8387" s="32"/>
    </row>
    <row r="8388" spans="1:2" x14ac:dyDescent="0.35">
      <c r="A8388" s="32"/>
      <c r="B8388" s="32"/>
    </row>
    <row r="8389" spans="1:2" x14ac:dyDescent="0.35">
      <c r="A8389" s="32"/>
      <c r="B8389" s="32"/>
    </row>
    <row r="8390" spans="1:2" x14ac:dyDescent="0.35">
      <c r="A8390" s="32"/>
      <c r="B8390" s="32"/>
    </row>
    <row r="8391" spans="1:2" x14ac:dyDescent="0.35">
      <c r="A8391" s="32"/>
      <c r="B8391" s="32"/>
    </row>
    <row r="8392" spans="1:2" x14ac:dyDescent="0.35">
      <c r="A8392" s="32"/>
      <c r="B8392" s="32"/>
    </row>
    <row r="8393" spans="1:2" x14ac:dyDescent="0.35">
      <c r="A8393" s="32"/>
      <c r="B8393" s="32"/>
    </row>
    <row r="8394" spans="1:2" x14ac:dyDescent="0.35">
      <c r="A8394" s="32"/>
      <c r="B8394" s="32"/>
    </row>
    <row r="8395" spans="1:2" x14ac:dyDescent="0.35">
      <c r="A8395" s="32"/>
      <c r="B8395" s="32"/>
    </row>
    <row r="8396" spans="1:2" x14ac:dyDescent="0.35">
      <c r="A8396" s="32"/>
      <c r="B8396" s="32"/>
    </row>
    <row r="8397" spans="1:2" x14ac:dyDescent="0.35">
      <c r="A8397" s="32"/>
      <c r="B8397" s="32"/>
    </row>
    <row r="8398" spans="1:2" x14ac:dyDescent="0.35">
      <c r="A8398" s="32"/>
      <c r="B8398" s="32"/>
    </row>
    <row r="8399" spans="1:2" x14ac:dyDescent="0.35">
      <c r="A8399" s="32"/>
      <c r="B8399" s="32"/>
    </row>
    <row r="8400" spans="1:2" x14ac:dyDescent="0.35">
      <c r="A8400" s="32"/>
      <c r="B8400" s="32"/>
    </row>
    <row r="8401" spans="1:2" x14ac:dyDescent="0.35">
      <c r="A8401" s="32"/>
      <c r="B8401" s="32"/>
    </row>
    <row r="8402" spans="1:2" x14ac:dyDescent="0.35">
      <c r="A8402" s="32"/>
      <c r="B8402" s="32"/>
    </row>
    <row r="8403" spans="1:2" x14ac:dyDescent="0.35">
      <c r="A8403" s="32"/>
      <c r="B8403" s="32"/>
    </row>
    <row r="8404" spans="1:2" x14ac:dyDescent="0.35">
      <c r="A8404" s="32"/>
      <c r="B8404" s="32"/>
    </row>
    <row r="8405" spans="1:2" x14ac:dyDescent="0.35">
      <c r="A8405" s="32"/>
      <c r="B8405" s="32"/>
    </row>
    <row r="8406" spans="1:2" x14ac:dyDescent="0.35">
      <c r="A8406" s="32"/>
      <c r="B8406" s="32"/>
    </row>
    <row r="8407" spans="1:2" x14ac:dyDescent="0.35">
      <c r="A8407" s="32"/>
      <c r="B8407" s="32"/>
    </row>
    <row r="8408" spans="1:2" x14ac:dyDescent="0.35">
      <c r="A8408" s="32"/>
      <c r="B8408" s="32"/>
    </row>
    <row r="8409" spans="1:2" x14ac:dyDescent="0.35">
      <c r="A8409" s="32"/>
      <c r="B8409" s="32"/>
    </row>
    <row r="8410" spans="1:2" x14ac:dyDescent="0.35">
      <c r="A8410" s="32"/>
      <c r="B8410" s="32"/>
    </row>
    <row r="8411" spans="1:2" x14ac:dyDescent="0.35">
      <c r="A8411" s="32"/>
      <c r="B8411" s="32"/>
    </row>
    <row r="8412" spans="1:2" x14ac:dyDescent="0.35">
      <c r="A8412" s="32"/>
      <c r="B8412" s="32"/>
    </row>
    <row r="8413" spans="1:2" x14ac:dyDescent="0.35">
      <c r="A8413" s="32"/>
      <c r="B8413" s="32"/>
    </row>
    <row r="8414" spans="1:2" x14ac:dyDescent="0.35">
      <c r="A8414" s="32"/>
      <c r="B8414" s="32"/>
    </row>
    <row r="8415" spans="1:2" x14ac:dyDescent="0.35">
      <c r="A8415" s="32"/>
      <c r="B8415" s="32"/>
    </row>
    <row r="8416" spans="1:2" x14ac:dyDescent="0.35">
      <c r="A8416" s="32"/>
      <c r="B8416" s="32"/>
    </row>
    <row r="8417" spans="1:2" x14ac:dyDescent="0.35">
      <c r="A8417" s="32"/>
      <c r="B8417" s="32"/>
    </row>
    <row r="8418" spans="1:2" x14ac:dyDescent="0.35">
      <c r="A8418" s="32"/>
      <c r="B8418" s="32"/>
    </row>
    <row r="8419" spans="1:2" x14ac:dyDescent="0.35">
      <c r="A8419" s="32"/>
      <c r="B8419" s="32"/>
    </row>
    <row r="8420" spans="1:2" x14ac:dyDescent="0.35">
      <c r="A8420" s="32"/>
      <c r="B8420" s="32"/>
    </row>
    <row r="8421" spans="1:2" x14ac:dyDescent="0.35">
      <c r="A8421" s="32"/>
      <c r="B8421" s="32"/>
    </row>
    <row r="8422" spans="1:2" x14ac:dyDescent="0.35">
      <c r="A8422" s="32"/>
      <c r="B8422" s="32"/>
    </row>
    <row r="8423" spans="1:2" x14ac:dyDescent="0.35">
      <c r="A8423" s="32"/>
      <c r="B8423" s="32"/>
    </row>
    <row r="8424" spans="1:2" x14ac:dyDescent="0.35">
      <c r="A8424" s="32"/>
      <c r="B8424" s="32"/>
    </row>
    <row r="8425" spans="1:2" x14ac:dyDescent="0.35">
      <c r="A8425" s="32"/>
      <c r="B8425" s="32"/>
    </row>
    <row r="8426" spans="1:2" x14ac:dyDescent="0.35">
      <c r="A8426" s="32"/>
      <c r="B8426" s="32"/>
    </row>
    <row r="8427" spans="1:2" x14ac:dyDescent="0.35">
      <c r="A8427" s="32"/>
      <c r="B8427" s="32"/>
    </row>
    <row r="8428" spans="1:2" x14ac:dyDescent="0.35">
      <c r="A8428" s="32"/>
      <c r="B8428" s="32"/>
    </row>
    <row r="8429" spans="1:2" x14ac:dyDescent="0.35">
      <c r="A8429" s="32"/>
      <c r="B8429" s="32"/>
    </row>
    <row r="8430" spans="1:2" x14ac:dyDescent="0.35">
      <c r="A8430" s="32"/>
      <c r="B8430" s="32"/>
    </row>
    <row r="8431" spans="1:2" x14ac:dyDescent="0.35">
      <c r="A8431" s="32"/>
      <c r="B8431" s="32"/>
    </row>
    <row r="8432" spans="1:2" x14ac:dyDescent="0.35">
      <c r="A8432" s="32"/>
      <c r="B8432" s="32"/>
    </row>
    <row r="8433" spans="1:2" x14ac:dyDescent="0.35">
      <c r="A8433" s="32"/>
      <c r="B8433" s="32"/>
    </row>
    <row r="8434" spans="1:2" x14ac:dyDescent="0.35">
      <c r="A8434" s="32"/>
      <c r="B8434" s="32"/>
    </row>
    <row r="8435" spans="1:2" x14ac:dyDescent="0.35">
      <c r="A8435" s="32"/>
      <c r="B8435" s="32"/>
    </row>
    <row r="8436" spans="1:2" x14ac:dyDescent="0.35">
      <c r="A8436" s="32"/>
      <c r="B8436" s="32"/>
    </row>
    <row r="8437" spans="1:2" x14ac:dyDescent="0.35">
      <c r="A8437" s="32"/>
      <c r="B8437" s="32"/>
    </row>
    <row r="8438" spans="1:2" x14ac:dyDescent="0.35">
      <c r="A8438" s="32"/>
      <c r="B8438" s="32"/>
    </row>
    <row r="8439" spans="1:2" x14ac:dyDescent="0.35">
      <c r="A8439" s="32"/>
      <c r="B8439" s="32"/>
    </row>
    <row r="8440" spans="1:2" x14ac:dyDescent="0.35">
      <c r="A8440" s="32"/>
      <c r="B8440" s="32"/>
    </row>
    <row r="8441" spans="1:2" x14ac:dyDescent="0.35">
      <c r="A8441" s="32"/>
      <c r="B8441" s="32"/>
    </row>
    <row r="8442" spans="1:2" x14ac:dyDescent="0.35">
      <c r="A8442" s="32"/>
      <c r="B8442" s="32"/>
    </row>
    <row r="8443" spans="1:2" x14ac:dyDescent="0.35">
      <c r="A8443" s="32"/>
      <c r="B8443" s="32"/>
    </row>
    <row r="8444" spans="1:2" x14ac:dyDescent="0.35">
      <c r="A8444" s="32"/>
      <c r="B8444" s="32"/>
    </row>
    <row r="8445" spans="1:2" x14ac:dyDescent="0.35">
      <c r="A8445" s="32"/>
      <c r="B8445" s="32"/>
    </row>
    <row r="8446" spans="1:2" x14ac:dyDescent="0.35">
      <c r="A8446" s="32"/>
      <c r="B8446" s="32"/>
    </row>
    <row r="8447" spans="1:2" x14ac:dyDescent="0.35">
      <c r="A8447" s="32"/>
      <c r="B8447" s="32"/>
    </row>
    <row r="8448" spans="1:2" x14ac:dyDescent="0.35">
      <c r="A8448" s="32"/>
      <c r="B8448" s="32"/>
    </row>
    <row r="8449" spans="1:2" x14ac:dyDescent="0.35">
      <c r="A8449" s="32"/>
      <c r="B8449" s="32"/>
    </row>
    <row r="8450" spans="1:2" x14ac:dyDescent="0.35">
      <c r="A8450" s="32"/>
      <c r="B8450" s="32"/>
    </row>
    <row r="8451" spans="1:2" x14ac:dyDescent="0.35">
      <c r="A8451" s="32"/>
      <c r="B8451" s="32"/>
    </row>
    <row r="8452" spans="1:2" x14ac:dyDescent="0.35">
      <c r="A8452" s="32"/>
      <c r="B8452" s="32"/>
    </row>
    <row r="8453" spans="1:2" x14ac:dyDescent="0.35">
      <c r="A8453" s="32"/>
      <c r="B8453" s="32"/>
    </row>
    <row r="8454" spans="1:2" x14ac:dyDescent="0.35">
      <c r="A8454" s="32"/>
      <c r="B8454" s="32"/>
    </row>
    <row r="8455" spans="1:2" x14ac:dyDescent="0.35">
      <c r="A8455" s="32"/>
      <c r="B8455" s="32"/>
    </row>
    <row r="8456" spans="1:2" x14ac:dyDescent="0.35">
      <c r="A8456" s="32"/>
      <c r="B8456" s="32"/>
    </row>
    <row r="8457" spans="1:2" x14ac:dyDescent="0.35">
      <c r="A8457" s="32"/>
      <c r="B8457" s="32"/>
    </row>
    <row r="8458" spans="1:2" x14ac:dyDescent="0.35">
      <c r="A8458" s="32"/>
      <c r="B8458" s="32"/>
    </row>
    <row r="8459" spans="1:2" x14ac:dyDescent="0.35">
      <c r="A8459" s="32"/>
      <c r="B8459" s="32"/>
    </row>
    <row r="8460" spans="1:2" x14ac:dyDescent="0.35">
      <c r="A8460" s="32"/>
      <c r="B8460" s="32"/>
    </row>
    <row r="8461" spans="1:2" x14ac:dyDescent="0.35">
      <c r="A8461" s="32"/>
      <c r="B8461" s="32"/>
    </row>
    <row r="8462" spans="1:2" x14ac:dyDescent="0.35">
      <c r="A8462" s="32"/>
      <c r="B8462" s="32"/>
    </row>
    <row r="8463" spans="1:2" x14ac:dyDescent="0.35">
      <c r="A8463" s="32"/>
      <c r="B8463" s="32"/>
    </row>
    <row r="8464" spans="1:2" x14ac:dyDescent="0.35">
      <c r="A8464" s="32"/>
      <c r="B8464" s="32"/>
    </row>
    <row r="8465" spans="1:2" x14ac:dyDescent="0.35">
      <c r="A8465" s="32"/>
      <c r="B8465" s="32"/>
    </row>
    <row r="8466" spans="1:2" x14ac:dyDescent="0.35">
      <c r="A8466" s="32"/>
      <c r="B8466" s="32"/>
    </row>
    <row r="8467" spans="1:2" x14ac:dyDescent="0.35">
      <c r="A8467" s="32"/>
      <c r="B8467" s="32"/>
    </row>
    <row r="8468" spans="1:2" x14ac:dyDescent="0.35">
      <c r="A8468" s="32"/>
      <c r="B8468" s="32"/>
    </row>
    <row r="8469" spans="1:2" x14ac:dyDescent="0.35">
      <c r="A8469" s="32"/>
      <c r="B8469" s="32"/>
    </row>
    <row r="8470" spans="1:2" x14ac:dyDescent="0.35">
      <c r="A8470" s="32"/>
      <c r="B8470" s="32"/>
    </row>
    <row r="8471" spans="1:2" x14ac:dyDescent="0.35">
      <c r="A8471" s="32"/>
      <c r="B8471" s="32"/>
    </row>
    <row r="8472" spans="1:2" x14ac:dyDescent="0.35">
      <c r="A8472" s="32"/>
      <c r="B8472" s="32"/>
    </row>
    <row r="8473" spans="1:2" x14ac:dyDescent="0.35">
      <c r="A8473" s="32"/>
      <c r="B8473" s="32"/>
    </row>
    <row r="8474" spans="1:2" x14ac:dyDescent="0.35">
      <c r="A8474" s="32"/>
      <c r="B8474" s="32"/>
    </row>
    <row r="8475" spans="1:2" x14ac:dyDescent="0.35">
      <c r="A8475" s="32"/>
      <c r="B8475" s="32"/>
    </row>
    <row r="8476" spans="1:2" x14ac:dyDescent="0.35">
      <c r="A8476" s="32"/>
      <c r="B8476" s="32"/>
    </row>
    <row r="8477" spans="1:2" x14ac:dyDescent="0.35">
      <c r="A8477" s="32"/>
      <c r="B8477" s="32"/>
    </row>
    <row r="8478" spans="1:2" x14ac:dyDescent="0.35">
      <c r="A8478" s="32"/>
      <c r="B8478" s="32"/>
    </row>
    <row r="8479" spans="1:2" x14ac:dyDescent="0.35">
      <c r="A8479" s="32"/>
      <c r="B8479" s="32"/>
    </row>
    <row r="8480" spans="1:2" x14ac:dyDescent="0.35">
      <c r="A8480" s="32"/>
      <c r="B8480" s="32"/>
    </row>
    <row r="8481" spans="1:2" x14ac:dyDescent="0.35">
      <c r="A8481" s="32"/>
      <c r="B8481" s="32"/>
    </row>
    <row r="8482" spans="1:2" x14ac:dyDescent="0.35">
      <c r="A8482" s="32"/>
      <c r="B8482" s="32"/>
    </row>
    <row r="8483" spans="1:2" x14ac:dyDescent="0.35">
      <c r="A8483" s="32"/>
      <c r="B8483" s="32"/>
    </row>
    <row r="8484" spans="1:2" x14ac:dyDescent="0.35">
      <c r="A8484" s="32"/>
      <c r="B8484" s="32"/>
    </row>
    <row r="8485" spans="1:2" x14ac:dyDescent="0.35">
      <c r="A8485" s="32"/>
      <c r="B8485" s="32"/>
    </row>
    <row r="8486" spans="1:2" x14ac:dyDescent="0.35">
      <c r="A8486" s="32"/>
      <c r="B8486" s="32"/>
    </row>
    <row r="8487" spans="1:2" x14ac:dyDescent="0.35">
      <c r="A8487" s="32"/>
      <c r="B8487" s="32"/>
    </row>
    <row r="8488" spans="1:2" x14ac:dyDescent="0.35">
      <c r="A8488" s="32"/>
      <c r="B8488" s="32"/>
    </row>
    <row r="8489" spans="1:2" x14ac:dyDescent="0.35">
      <c r="A8489" s="32"/>
      <c r="B8489" s="32"/>
    </row>
    <row r="8490" spans="1:2" x14ac:dyDescent="0.35">
      <c r="A8490" s="32"/>
      <c r="B8490" s="32"/>
    </row>
    <row r="8491" spans="1:2" x14ac:dyDescent="0.35">
      <c r="A8491" s="32"/>
      <c r="B8491" s="32"/>
    </row>
    <row r="8492" spans="1:2" x14ac:dyDescent="0.35">
      <c r="A8492" s="32"/>
      <c r="B8492" s="32"/>
    </row>
    <row r="8493" spans="1:2" x14ac:dyDescent="0.35">
      <c r="A8493" s="32"/>
      <c r="B8493" s="32"/>
    </row>
    <row r="8494" spans="1:2" x14ac:dyDescent="0.35">
      <c r="A8494" s="32"/>
      <c r="B8494" s="32"/>
    </row>
    <row r="8495" spans="1:2" x14ac:dyDescent="0.35">
      <c r="A8495" s="32"/>
      <c r="B8495" s="32"/>
    </row>
    <row r="8496" spans="1:2" x14ac:dyDescent="0.35">
      <c r="A8496" s="32"/>
      <c r="B8496" s="32"/>
    </row>
    <row r="8497" spans="1:2" x14ac:dyDescent="0.35">
      <c r="A8497" s="32"/>
      <c r="B8497" s="32"/>
    </row>
    <row r="8498" spans="1:2" x14ac:dyDescent="0.35">
      <c r="A8498" s="32"/>
      <c r="B8498" s="32"/>
    </row>
    <row r="8499" spans="1:2" x14ac:dyDescent="0.35">
      <c r="A8499" s="32"/>
      <c r="B8499" s="32"/>
    </row>
    <row r="8500" spans="1:2" x14ac:dyDescent="0.35">
      <c r="A8500" s="32"/>
      <c r="B8500" s="32"/>
    </row>
    <row r="8501" spans="1:2" x14ac:dyDescent="0.35">
      <c r="A8501" s="32"/>
      <c r="B8501" s="32"/>
    </row>
    <row r="8502" spans="1:2" x14ac:dyDescent="0.35">
      <c r="A8502" s="32"/>
      <c r="B8502" s="32"/>
    </row>
    <row r="8503" spans="1:2" x14ac:dyDescent="0.35">
      <c r="A8503" s="32"/>
      <c r="B8503" s="32"/>
    </row>
    <row r="8504" spans="1:2" x14ac:dyDescent="0.35">
      <c r="A8504" s="32"/>
      <c r="B8504" s="32"/>
    </row>
    <row r="8505" spans="1:2" x14ac:dyDescent="0.35">
      <c r="A8505" s="32"/>
      <c r="B8505" s="32"/>
    </row>
    <row r="8506" spans="1:2" x14ac:dyDescent="0.35">
      <c r="A8506" s="32"/>
      <c r="B8506" s="32"/>
    </row>
    <row r="8507" spans="1:2" x14ac:dyDescent="0.35">
      <c r="A8507" s="32"/>
      <c r="B8507" s="32"/>
    </row>
    <row r="8508" spans="1:2" x14ac:dyDescent="0.35">
      <c r="A8508" s="32"/>
      <c r="B8508" s="32"/>
    </row>
    <row r="8509" spans="1:2" x14ac:dyDescent="0.35">
      <c r="A8509" s="32"/>
      <c r="B8509" s="32"/>
    </row>
    <row r="8510" spans="1:2" x14ac:dyDescent="0.35">
      <c r="A8510" s="32"/>
      <c r="B8510" s="32"/>
    </row>
    <row r="8511" spans="1:2" x14ac:dyDescent="0.35">
      <c r="A8511" s="32"/>
      <c r="B8511" s="32"/>
    </row>
    <row r="8512" spans="1:2" x14ac:dyDescent="0.35">
      <c r="A8512" s="32"/>
      <c r="B8512" s="32"/>
    </row>
    <row r="8513" spans="1:2" x14ac:dyDescent="0.35">
      <c r="A8513" s="32"/>
      <c r="B8513" s="32"/>
    </row>
    <row r="8514" spans="1:2" x14ac:dyDescent="0.35">
      <c r="A8514" s="32"/>
      <c r="B8514" s="32"/>
    </row>
    <row r="8515" spans="1:2" x14ac:dyDescent="0.35">
      <c r="A8515" s="32"/>
      <c r="B8515" s="32"/>
    </row>
    <row r="8516" spans="1:2" x14ac:dyDescent="0.35">
      <c r="A8516" s="32"/>
      <c r="B8516" s="32"/>
    </row>
    <row r="8517" spans="1:2" x14ac:dyDescent="0.35">
      <c r="A8517" s="32"/>
      <c r="B8517" s="32"/>
    </row>
    <row r="8518" spans="1:2" x14ac:dyDescent="0.35">
      <c r="A8518" s="32"/>
      <c r="B8518" s="32"/>
    </row>
    <row r="8519" spans="1:2" x14ac:dyDescent="0.35">
      <c r="A8519" s="32"/>
      <c r="B8519" s="32"/>
    </row>
    <row r="8520" spans="1:2" x14ac:dyDescent="0.35">
      <c r="A8520" s="32"/>
      <c r="B8520" s="32"/>
    </row>
    <row r="8521" spans="1:2" x14ac:dyDescent="0.35">
      <c r="A8521" s="32"/>
      <c r="B8521" s="32"/>
    </row>
    <row r="8522" spans="1:2" x14ac:dyDescent="0.35">
      <c r="A8522" s="32"/>
      <c r="B8522" s="32"/>
    </row>
    <row r="8523" spans="1:2" x14ac:dyDescent="0.35">
      <c r="A8523" s="32"/>
      <c r="B8523" s="32"/>
    </row>
    <row r="8524" spans="1:2" x14ac:dyDescent="0.35">
      <c r="A8524" s="32"/>
      <c r="B8524" s="32"/>
    </row>
    <row r="8525" spans="1:2" x14ac:dyDescent="0.35">
      <c r="A8525" s="32"/>
      <c r="B8525" s="32"/>
    </row>
    <row r="8526" spans="1:2" x14ac:dyDescent="0.35">
      <c r="A8526" s="32"/>
      <c r="B8526" s="32"/>
    </row>
    <row r="8527" spans="1:2" x14ac:dyDescent="0.35">
      <c r="A8527" s="32"/>
      <c r="B8527" s="32"/>
    </row>
    <row r="8528" spans="1:2" x14ac:dyDescent="0.35">
      <c r="A8528" s="32"/>
      <c r="B8528" s="32"/>
    </row>
    <row r="8529" spans="1:2" x14ac:dyDescent="0.35">
      <c r="A8529" s="32"/>
      <c r="B8529" s="32"/>
    </row>
    <row r="8530" spans="1:2" x14ac:dyDescent="0.35">
      <c r="A8530" s="32"/>
      <c r="B8530" s="32"/>
    </row>
    <row r="8531" spans="1:2" x14ac:dyDescent="0.35">
      <c r="A8531" s="32"/>
      <c r="B8531" s="32"/>
    </row>
    <row r="8532" spans="1:2" x14ac:dyDescent="0.35">
      <c r="A8532" s="32"/>
      <c r="B8532" s="32"/>
    </row>
    <row r="8533" spans="1:2" x14ac:dyDescent="0.35">
      <c r="A8533" s="32"/>
      <c r="B8533" s="32"/>
    </row>
    <row r="8534" spans="1:2" x14ac:dyDescent="0.35">
      <c r="A8534" s="32"/>
      <c r="B8534" s="32"/>
    </row>
    <row r="8535" spans="1:2" x14ac:dyDescent="0.35">
      <c r="A8535" s="32"/>
      <c r="B8535" s="32"/>
    </row>
    <row r="8536" spans="1:2" x14ac:dyDescent="0.35">
      <c r="A8536" s="32"/>
      <c r="B8536" s="32"/>
    </row>
    <row r="8537" spans="1:2" x14ac:dyDescent="0.35">
      <c r="A8537" s="32"/>
      <c r="B8537" s="32"/>
    </row>
    <row r="8538" spans="1:2" x14ac:dyDescent="0.35">
      <c r="A8538" s="32"/>
      <c r="B8538" s="32"/>
    </row>
    <row r="8539" spans="1:2" x14ac:dyDescent="0.35">
      <c r="A8539" s="32"/>
      <c r="B8539" s="32"/>
    </row>
    <row r="8540" spans="1:2" x14ac:dyDescent="0.35">
      <c r="A8540" s="32"/>
      <c r="B8540" s="32"/>
    </row>
    <row r="8541" spans="1:2" x14ac:dyDescent="0.35">
      <c r="A8541" s="32"/>
      <c r="B8541" s="32"/>
    </row>
    <row r="8542" spans="1:2" x14ac:dyDescent="0.35">
      <c r="A8542" s="32"/>
      <c r="B8542" s="32"/>
    </row>
    <row r="8543" spans="1:2" x14ac:dyDescent="0.35">
      <c r="A8543" s="32"/>
      <c r="B8543" s="32"/>
    </row>
    <row r="8544" spans="1:2" x14ac:dyDescent="0.35">
      <c r="A8544" s="32"/>
      <c r="B8544" s="32"/>
    </row>
    <row r="8545" spans="1:2" x14ac:dyDescent="0.35">
      <c r="A8545" s="32"/>
      <c r="B8545" s="32"/>
    </row>
    <row r="8546" spans="1:2" x14ac:dyDescent="0.35">
      <c r="A8546" s="32"/>
      <c r="B8546" s="32"/>
    </row>
    <row r="8547" spans="1:2" x14ac:dyDescent="0.35">
      <c r="A8547" s="32"/>
      <c r="B8547" s="32"/>
    </row>
    <row r="8548" spans="1:2" x14ac:dyDescent="0.35">
      <c r="A8548" s="32"/>
      <c r="B8548" s="32"/>
    </row>
    <row r="8549" spans="1:2" x14ac:dyDescent="0.35">
      <c r="A8549" s="32"/>
      <c r="B8549" s="32"/>
    </row>
    <row r="8550" spans="1:2" x14ac:dyDescent="0.35">
      <c r="A8550" s="32"/>
      <c r="B8550" s="32"/>
    </row>
    <row r="8551" spans="1:2" x14ac:dyDescent="0.35">
      <c r="A8551" s="32"/>
      <c r="B8551" s="32"/>
    </row>
    <row r="8552" spans="1:2" x14ac:dyDescent="0.35">
      <c r="A8552" s="32"/>
      <c r="B8552" s="32"/>
    </row>
    <row r="8553" spans="1:2" x14ac:dyDescent="0.35">
      <c r="A8553" s="32"/>
      <c r="B8553" s="32"/>
    </row>
    <row r="8554" spans="1:2" x14ac:dyDescent="0.35">
      <c r="A8554" s="32"/>
      <c r="B8554" s="32"/>
    </row>
    <row r="8555" spans="1:2" x14ac:dyDescent="0.35">
      <c r="A8555" s="32"/>
      <c r="B8555" s="32"/>
    </row>
    <row r="8556" spans="1:2" x14ac:dyDescent="0.35">
      <c r="A8556" s="32"/>
      <c r="B8556" s="32"/>
    </row>
    <row r="8557" spans="1:2" x14ac:dyDescent="0.35">
      <c r="A8557" s="32"/>
      <c r="B8557" s="32"/>
    </row>
    <row r="8558" spans="1:2" x14ac:dyDescent="0.35">
      <c r="A8558" s="32"/>
      <c r="B8558" s="32"/>
    </row>
    <row r="8559" spans="1:2" x14ac:dyDescent="0.35">
      <c r="A8559" s="32"/>
      <c r="B8559" s="32"/>
    </row>
    <row r="8560" spans="1:2" x14ac:dyDescent="0.35">
      <c r="A8560" s="32"/>
      <c r="B8560" s="32"/>
    </row>
    <row r="8561" spans="1:2" x14ac:dyDescent="0.35">
      <c r="A8561" s="32"/>
      <c r="B8561" s="32"/>
    </row>
    <row r="8562" spans="1:2" x14ac:dyDescent="0.35">
      <c r="A8562" s="32"/>
      <c r="B8562" s="32"/>
    </row>
    <row r="8563" spans="1:2" x14ac:dyDescent="0.35">
      <c r="A8563" s="32"/>
      <c r="B8563" s="32"/>
    </row>
    <row r="8564" spans="1:2" x14ac:dyDescent="0.35">
      <c r="A8564" s="32"/>
      <c r="B8564" s="32"/>
    </row>
    <row r="8565" spans="1:2" x14ac:dyDescent="0.35">
      <c r="A8565" s="32"/>
      <c r="B8565" s="32"/>
    </row>
    <row r="8566" spans="1:2" x14ac:dyDescent="0.35">
      <c r="A8566" s="32"/>
      <c r="B8566" s="32"/>
    </row>
    <row r="8567" spans="1:2" x14ac:dyDescent="0.35">
      <c r="A8567" s="32"/>
      <c r="B8567" s="32"/>
    </row>
    <row r="8568" spans="1:2" x14ac:dyDescent="0.35">
      <c r="A8568" s="32"/>
      <c r="B8568" s="32"/>
    </row>
    <row r="8569" spans="1:2" x14ac:dyDescent="0.35">
      <c r="A8569" s="32"/>
      <c r="B8569" s="32"/>
    </row>
    <row r="8570" spans="1:2" x14ac:dyDescent="0.35">
      <c r="A8570" s="32"/>
      <c r="B8570" s="32"/>
    </row>
    <row r="8571" spans="1:2" x14ac:dyDescent="0.35">
      <c r="A8571" s="32"/>
      <c r="B8571" s="32"/>
    </row>
    <row r="8572" spans="1:2" x14ac:dyDescent="0.35">
      <c r="A8572" s="32"/>
      <c r="B8572" s="32"/>
    </row>
    <row r="8573" spans="1:2" x14ac:dyDescent="0.35">
      <c r="A8573" s="32"/>
      <c r="B8573" s="32"/>
    </row>
    <row r="8574" spans="1:2" x14ac:dyDescent="0.35">
      <c r="A8574" s="32"/>
      <c r="B8574" s="32"/>
    </row>
    <row r="8575" spans="1:2" x14ac:dyDescent="0.35">
      <c r="A8575" s="32"/>
      <c r="B8575" s="32"/>
    </row>
    <row r="8576" spans="1:2" x14ac:dyDescent="0.35">
      <c r="A8576" s="32"/>
      <c r="B8576" s="32"/>
    </row>
    <row r="8577" spans="1:2" x14ac:dyDescent="0.35">
      <c r="A8577" s="32"/>
      <c r="B8577" s="32"/>
    </row>
    <row r="8578" spans="1:2" x14ac:dyDescent="0.35">
      <c r="A8578" s="32"/>
      <c r="B8578" s="32"/>
    </row>
    <row r="8579" spans="1:2" x14ac:dyDescent="0.35">
      <c r="A8579" s="32"/>
      <c r="B8579" s="32"/>
    </row>
    <row r="8580" spans="1:2" x14ac:dyDescent="0.35">
      <c r="A8580" s="32"/>
      <c r="B8580" s="32"/>
    </row>
    <row r="8581" spans="1:2" x14ac:dyDescent="0.35">
      <c r="A8581" s="32"/>
      <c r="B8581" s="32"/>
    </row>
    <row r="8582" spans="1:2" x14ac:dyDescent="0.35">
      <c r="A8582" s="32"/>
      <c r="B8582" s="32"/>
    </row>
    <row r="8583" spans="1:2" x14ac:dyDescent="0.35">
      <c r="A8583" s="32"/>
      <c r="B8583" s="32"/>
    </row>
    <row r="8584" spans="1:2" x14ac:dyDescent="0.35">
      <c r="A8584" s="32"/>
      <c r="B8584" s="32"/>
    </row>
    <row r="8585" spans="1:2" x14ac:dyDescent="0.35">
      <c r="A8585" s="32"/>
      <c r="B8585" s="32"/>
    </row>
    <row r="8586" spans="1:2" x14ac:dyDescent="0.35">
      <c r="A8586" s="32"/>
      <c r="B8586" s="32"/>
    </row>
    <row r="8587" spans="1:2" x14ac:dyDescent="0.35">
      <c r="A8587" s="32"/>
      <c r="B8587" s="32"/>
    </row>
    <row r="8588" spans="1:2" x14ac:dyDescent="0.35">
      <c r="A8588" s="32"/>
      <c r="B8588" s="32"/>
    </row>
    <row r="8589" spans="1:2" x14ac:dyDescent="0.35">
      <c r="A8589" s="32"/>
      <c r="B8589" s="32"/>
    </row>
    <row r="8590" spans="1:2" x14ac:dyDescent="0.35">
      <c r="A8590" s="32"/>
      <c r="B8590" s="32"/>
    </row>
    <row r="8591" spans="1:2" x14ac:dyDescent="0.35">
      <c r="A8591" s="32"/>
      <c r="B8591" s="32"/>
    </row>
    <row r="8592" spans="1:2" x14ac:dyDescent="0.35">
      <c r="A8592" s="32"/>
      <c r="B8592" s="32"/>
    </row>
    <row r="8593" spans="1:2" x14ac:dyDescent="0.35">
      <c r="A8593" s="32"/>
      <c r="B8593" s="32"/>
    </row>
    <row r="8594" spans="1:2" x14ac:dyDescent="0.35">
      <c r="A8594" s="32"/>
      <c r="B8594" s="32"/>
    </row>
    <row r="8595" spans="1:2" x14ac:dyDescent="0.35">
      <c r="A8595" s="32"/>
      <c r="B8595" s="32"/>
    </row>
    <row r="8596" spans="1:2" x14ac:dyDescent="0.35">
      <c r="A8596" s="32"/>
      <c r="B8596" s="32"/>
    </row>
    <row r="8597" spans="1:2" x14ac:dyDescent="0.35">
      <c r="A8597" s="32"/>
      <c r="B8597" s="32"/>
    </row>
    <row r="8598" spans="1:2" x14ac:dyDescent="0.35">
      <c r="A8598" s="32"/>
      <c r="B8598" s="32"/>
    </row>
    <row r="8599" spans="1:2" x14ac:dyDescent="0.35">
      <c r="A8599" s="32"/>
      <c r="B8599" s="32"/>
    </row>
    <row r="8600" spans="1:2" x14ac:dyDescent="0.35">
      <c r="A8600" s="32"/>
      <c r="B8600" s="32"/>
    </row>
    <row r="8601" spans="1:2" x14ac:dyDescent="0.35">
      <c r="A8601" s="32"/>
      <c r="B8601" s="32"/>
    </row>
    <row r="8602" spans="1:2" x14ac:dyDescent="0.35">
      <c r="A8602" s="32"/>
      <c r="B8602" s="32"/>
    </row>
    <row r="8603" spans="1:2" x14ac:dyDescent="0.35">
      <c r="A8603" s="32"/>
      <c r="B8603" s="32"/>
    </row>
    <row r="8604" spans="1:2" x14ac:dyDescent="0.35">
      <c r="A8604" s="32"/>
      <c r="B8604" s="32"/>
    </row>
    <row r="8605" spans="1:2" x14ac:dyDescent="0.35">
      <c r="A8605" s="32"/>
      <c r="B8605" s="32"/>
    </row>
    <row r="8606" spans="1:2" x14ac:dyDescent="0.35">
      <c r="A8606" s="32"/>
      <c r="B8606" s="32"/>
    </row>
    <row r="8607" spans="1:2" x14ac:dyDescent="0.35">
      <c r="A8607" s="32"/>
      <c r="B8607" s="32"/>
    </row>
    <row r="8608" spans="1:2" x14ac:dyDescent="0.35">
      <c r="A8608" s="32"/>
      <c r="B8608" s="32"/>
    </row>
    <row r="8609" spans="1:2" x14ac:dyDescent="0.35">
      <c r="A8609" s="32"/>
      <c r="B8609" s="32"/>
    </row>
    <row r="8610" spans="1:2" x14ac:dyDescent="0.35">
      <c r="A8610" s="32"/>
      <c r="B8610" s="32"/>
    </row>
    <row r="8611" spans="1:2" x14ac:dyDescent="0.35">
      <c r="A8611" s="32"/>
      <c r="B8611" s="32"/>
    </row>
    <row r="8612" spans="1:2" x14ac:dyDescent="0.35">
      <c r="A8612" s="32"/>
      <c r="B8612" s="32"/>
    </row>
    <row r="8613" spans="1:2" x14ac:dyDescent="0.35">
      <c r="A8613" s="32"/>
      <c r="B8613" s="32"/>
    </row>
    <row r="8614" spans="1:2" x14ac:dyDescent="0.35">
      <c r="A8614" s="32"/>
      <c r="B8614" s="32"/>
    </row>
    <row r="8615" spans="1:2" x14ac:dyDescent="0.35">
      <c r="A8615" s="32"/>
      <c r="B8615" s="32"/>
    </row>
    <row r="8616" spans="1:2" x14ac:dyDescent="0.35">
      <c r="A8616" s="32"/>
      <c r="B8616" s="32"/>
    </row>
    <row r="8617" spans="1:2" x14ac:dyDescent="0.35">
      <c r="A8617" s="32"/>
      <c r="B8617" s="32"/>
    </row>
    <row r="8618" spans="1:2" x14ac:dyDescent="0.35">
      <c r="A8618" s="32"/>
      <c r="B8618" s="32"/>
    </row>
    <row r="8619" spans="1:2" x14ac:dyDescent="0.35">
      <c r="A8619" s="32"/>
      <c r="B8619" s="32"/>
    </row>
    <row r="8620" spans="1:2" x14ac:dyDescent="0.35">
      <c r="A8620" s="32"/>
      <c r="B8620" s="32"/>
    </row>
    <row r="8621" spans="1:2" x14ac:dyDescent="0.35">
      <c r="A8621" s="32"/>
      <c r="B8621" s="32"/>
    </row>
    <row r="8622" spans="1:2" x14ac:dyDescent="0.35">
      <c r="A8622" s="32"/>
      <c r="B8622" s="32"/>
    </row>
    <row r="8623" spans="1:2" x14ac:dyDescent="0.35">
      <c r="A8623" s="32"/>
      <c r="B8623" s="32"/>
    </row>
    <row r="8624" spans="1:2" x14ac:dyDescent="0.35">
      <c r="A8624" s="32"/>
      <c r="B8624" s="32"/>
    </row>
    <row r="8625" spans="1:2" x14ac:dyDescent="0.35">
      <c r="A8625" s="32"/>
      <c r="B8625" s="32"/>
    </row>
    <row r="8626" spans="1:2" x14ac:dyDescent="0.35">
      <c r="A8626" s="32"/>
      <c r="B8626" s="32"/>
    </row>
    <row r="8627" spans="1:2" x14ac:dyDescent="0.35">
      <c r="A8627" s="32"/>
      <c r="B8627" s="32"/>
    </row>
    <row r="8628" spans="1:2" x14ac:dyDescent="0.35">
      <c r="A8628" s="32"/>
      <c r="B8628" s="32"/>
    </row>
    <row r="8629" spans="1:2" x14ac:dyDescent="0.35">
      <c r="A8629" s="32"/>
      <c r="B8629" s="32"/>
    </row>
    <row r="8630" spans="1:2" x14ac:dyDescent="0.35">
      <c r="A8630" s="32"/>
      <c r="B8630" s="32"/>
    </row>
    <row r="8631" spans="1:2" x14ac:dyDescent="0.35">
      <c r="A8631" s="32"/>
      <c r="B8631" s="32"/>
    </row>
    <row r="8632" spans="1:2" x14ac:dyDescent="0.35">
      <c r="A8632" s="32"/>
      <c r="B8632" s="32"/>
    </row>
    <row r="8633" spans="1:2" x14ac:dyDescent="0.35">
      <c r="A8633" s="32"/>
      <c r="B8633" s="32"/>
    </row>
    <row r="8634" spans="1:2" x14ac:dyDescent="0.35">
      <c r="A8634" s="32"/>
      <c r="B8634" s="32"/>
    </row>
    <row r="8635" spans="1:2" x14ac:dyDescent="0.35">
      <c r="A8635" s="32"/>
      <c r="B8635" s="32"/>
    </row>
    <row r="8636" spans="1:2" x14ac:dyDescent="0.35">
      <c r="A8636" s="32"/>
      <c r="B8636" s="32"/>
    </row>
    <row r="8637" spans="1:2" x14ac:dyDescent="0.35">
      <c r="A8637" s="32"/>
      <c r="B8637" s="32"/>
    </row>
    <row r="8638" spans="1:2" x14ac:dyDescent="0.35">
      <c r="A8638" s="32"/>
      <c r="B8638" s="32"/>
    </row>
    <row r="8639" spans="1:2" x14ac:dyDescent="0.35">
      <c r="A8639" s="32"/>
      <c r="B8639" s="32"/>
    </row>
    <row r="8640" spans="1:2" x14ac:dyDescent="0.35">
      <c r="A8640" s="32"/>
      <c r="B8640" s="32"/>
    </row>
    <row r="8641" spans="1:2" x14ac:dyDescent="0.35">
      <c r="A8641" s="32"/>
      <c r="B8641" s="32"/>
    </row>
    <row r="8642" spans="1:2" x14ac:dyDescent="0.35">
      <c r="A8642" s="32"/>
      <c r="B8642" s="32"/>
    </row>
    <row r="8643" spans="1:2" x14ac:dyDescent="0.35">
      <c r="A8643" s="32"/>
      <c r="B8643" s="32"/>
    </row>
    <row r="8644" spans="1:2" x14ac:dyDescent="0.35">
      <c r="A8644" s="32"/>
      <c r="B8644" s="32"/>
    </row>
    <row r="8645" spans="1:2" x14ac:dyDescent="0.35">
      <c r="A8645" s="32"/>
      <c r="B8645" s="32"/>
    </row>
    <row r="8646" spans="1:2" x14ac:dyDescent="0.35">
      <c r="A8646" s="32"/>
      <c r="B8646" s="32"/>
    </row>
    <row r="8647" spans="1:2" x14ac:dyDescent="0.35">
      <c r="A8647" s="32"/>
      <c r="B8647" s="32"/>
    </row>
    <row r="8648" spans="1:2" x14ac:dyDescent="0.35">
      <c r="A8648" s="32"/>
      <c r="B8648" s="32"/>
    </row>
    <row r="8649" spans="1:2" x14ac:dyDescent="0.35">
      <c r="A8649" s="32"/>
      <c r="B8649" s="32"/>
    </row>
    <row r="8650" spans="1:2" x14ac:dyDescent="0.35">
      <c r="A8650" s="32"/>
      <c r="B8650" s="32"/>
    </row>
    <row r="8651" spans="1:2" x14ac:dyDescent="0.35">
      <c r="A8651" s="32"/>
      <c r="B8651" s="32"/>
    </row>
    <row r="8652" spans="1:2" x14ac:dyDescent="0.35">
      <c r="A8652" s="32"/>
      <c r="B8652" s="32"/>
    </row>
    <row r="8653" spans="1:2" x14ac:dyDescent="0.35">
      <c r="A8653" s="32"/>
      <c r="B8653" s="32"/>
    </row>
    <row r="8654" spans="1:2" x14ac:dyDescent="0.35">
      <c r="A8654" s="32"/>
      <c r="B8654" s="32"/>
    </row>
    <row r="8655" spans="1:2" x14ac:dyDescent="0.35">
      <c r="A8655" s="32"/>
      <c r="B8655" s="32"/>
    </row>
    <row r="8656" spans="1:2" x14ac:dyDescent="0.35">
      <c r="A8656" s="32"/>
      <c r="B8656" s="32"/>
    </row>
    <row r="8657" spans="1:2" x14ac:dyDescent="0.35">
      <c r="A8657" s="32"/>
      <c r="B8657" s="32"/>
    </row>
    <row r="8658" spans="1:2" x14ac:dyDescent="0.35">
      <c r="A8658" s="32"/>
      <c r="B8658" s="32"/>
    </row>
    <row r="8659" spans="1:2" x14ac:dyDescent="0.35">
      <c r="A8659" s="32"/>
      <c r="B8659" s="32"/>
    </row>
    <row r="8660" spans="1:2" x14ac:dyDescent="0.35">
      <c r="A8660" s="32"/>
      <c r="B8660" s="32"/>
    </row>
    <row r="8661" spans="1:2" x14ac:dyDescent="0.35">
      <c r="A8661" s="32"/>
      <c r="B8661" s="32"/>
    </row>
    <row r="8662" spans="1:2" x14ac:dyDescent="0.35">
      <c r="A8662" s="32"/>
      <c r="B8662" s="32"/>
    </row>
    <row r="8663" spans="1:2" x14ac:dyDescent="0.35">
      <c r="A8663" s="32"/>
      <c r="B8663" s="32"/>
    </row>
    <row r="8664" spans="1:2" x14ac:dyDescent="0.35">
      <c r="A8664" s="32"/>
      <c r="B8664" s="32"/>
    </row>
    <row r="8665" spans="1:2" x14ac:dyDescent="0.35">
      <c r="A8665" s="32"/>
      <c r="B8665" s="32"/>
    </row>
    <row r="8666" spans="1:2" x14ac:dyDescent="0.35">
      <c r="A8666" s="32"/>
      <c r="B8666" s="32"/>
    </row>
    <row r="8667" spans="1:2" x14ac:dyDescent="0.35">
      <c r="A8667" s="32"/>
      <c r="B8667" s="32"/>
    </row>
    <row r="8668" spans="1:2" x14ac:dyDescent="0.35">
      <c r="A8668" s="32"/>
      <c r="B8668" s="32"/>
    </row>
    <row r="8669" spans="1:2" x14ac:dyDescent="0.35">
      <c r="A8669" s="32"/>
      <c r="B8669" s="32"/>
    </row>
    <row r="8670" spans="1:2" x14ac:dyDescent="0.35">
      <c r="A8670" s="32"/>
      <c r="B8670" s="32"/>
    </row>
    <row r="8671" spans="1:2" x14ac:dyDescent="0.35">
      <c r="A8671" s="32"/>
      <c r="B8671" s="32"/>
    </row>
    <row r="8672" spans="1:2" x14ac:dyDescent="0.35">
      <c r="A8672" s="32"/>
      <c r="B8672" s="32"/>
    </row>
    <row r="8673" spans="1:2" x14ac:dyDescent="0.35">
      <c r="A8673" s="32"/>
      <c r="B8673" s="32"/>
    </row>
    <row r="8674" spans="1:2" x14ac:dyDescent="0.35">
      <c r="A8674" s="32"/>
      <c r="B8674" s="32"/>
    </row>
    <row r="8675" spans="1:2" x14ac:dyDescent="0.35">
      <c r="A8675" s="32"/>
      <c r="B8675" s="32"/>
    </row>
    <row r="8676" spans="1:2" x14ac:dyDescent="0.35">
      <c r="A8676" s="32"/>
      <c r="B8676" s="32"/>
    </row>
    <row r="8677" spans="1:2" x14ac:dyDescent="0.35">
      <c r="A8677" s="32"/>
      <c r="B8677" s="32"/>
    </row>
    <row r="8678" spans="1:2" x14ac:dyDescent="0.35">
      <c r="A8678" s="32"/>
      <c r="B8678" s="32"/>
    </row>
    <row r="8679" spans="1:2" x14ac:dyDescent="0.35">
      <c r="A8679" s="32"/>
      <c r="B8679" s="32"/>
    </row>
    <row r="8680" spans="1:2" x14ac:dyDescent="0.35">
      <c r="A8680" s="32"/>
      <c r="B8680" s="32"/>
    </row>
    <row r="8681" spans="1:2" x14ac:dyDescent="0.35">
      <c r="A8681" s="32"/>
      <c r="B8681" s="32"/>
    </row>
    <row r="8682" spans="1:2" x14ac:dyDescent="0.35">
      <c r="A8682" s="32"/>
      <c r="B8682" s="32"/>
    </row>
    <row r="8683" spans="1:2" x14ac:dyDescent="0.35">
      <c r="A8683" s="32"/>
      <c r="B8683" s="32"/>
    </row>
    <row r="8684" spans="1:2" x14ac:dyDescent="0.35">
      <c r="A8684" s="32"/>
      <c r="B8684" s="32"/>
    </row>
    <row r="8685" spans="1:2" x14ac:dyDescent="0.35">
      <c r="A8685" s="32"/>
      <c r="B8685" s="32"/>
    </row>
    <row r="8686" spans="1:2" x14ac:dyDescent="0.35">
      <c r="A8686" s="32"/>
      <c r="B8686" s="32"/>
    </row>
    <row r="8687" spans="1:2" x14ac:dyDescent="0.35">
      <c r="A8687" s="32"/>
      <c r="B8687" s="32"/>
    </row>
    <row r="8688" spans="1:2" x14ac:dyDescent="0.35">
      <c r="A8688" s="32"/>
      <c r="B8688" s="32"/>
    </row>
    <row r="8689" spans="1:2" x14ac:dyDescent="0.35">
      <c r="A8689" s="32"/>
      <c r="B8689" s="32"/>
    </row>
    <row r="8690" spans="1:2" x14ac:dyDescent="0.35">
      <c r="A8690" s="32"/>
      <c r="B8690" s="32"/>
    </row>
    <row r="8691" spans="1:2" x14ac:dyDescent="0.35">
      <c r="A8691" s="32"/>
      <c r="B8691" s="32"/>
    </row>
    <row r="8692" spans="1:2" x14ac:dyDescent="0.35">
      <c r="A8692" s="32"/>
      <c r="B8692" s="32"/>
    </row>
    <row r="8693" spans="1:2" x14ac:dyDescent="0.35">
      <c r="A8693" s="32"/>
      <c r="B8693" s="32"/>
    </row>
    <row r="8694" spans="1:2" x14ac:dyDescent="0.35">
      <c r="A8694" s="32"/>
      <c r="B8694" s="32"/>
    </row>
    <row r="8695" spans="1:2" x14ac:dyDescent="0.35">
      <c r="A8695" s="32"/>
      <c r="B8695" s="32"/>
    </row>
    <row r="8696" spans="1:2" x14ac:dyDescent="0.35">
      <c r="A8696" s="32"/>
      <c r="B8696" s="32"/>
    </row>
    <row r="8697" spans="1:2" x14ac:dyDescent="0.35">
      <c r="A8697" s="32"/>
      <c r="B8697" s="32"/>
    </row>
    <row r="8698" spans="1:2" x14ac:dyDescent="0.35">
      <c r="A8698" s="32"/>
      <c r="B8698" s="32"/>
    </row>
    <row r="8699" spans="1:2" x14ac:dyDescent="0.35">
      <c r="A8699" s="32"/>
      <c r="B8699" s="32"/>
    </row>
    <row r="8700" spans="1:2" x14ac:dyDescent="0.35">
      <c r="A8700" s="32"/>
      <c r="B8700" s="32"/>
    </row>
    <row r="8701" spans="1:2" x14ac:dyDescent="0.35">
      <c r="A8701" s="32"/>
      <c r="B8701" s="32"/>
    </row>
    <row r="8702" spans="1:2" x14ac:dyDescent="0.35">
      <c r="A8702" s="32"/>
      <c r="B8702" s="32"/>
    </row>
    <row r="8703" spans="1:2" x14ac:dyDescent="0.35">
      <c r="A8703" s="32"/>
      <c r="B8703" s="32"/>
    </row>
    <row r="8704" spans="1:2" x14ac:dyDescent="0.35">
      <c r="A8704" s="32"/>
      <c r="B8704" s="32"/>
    </row>
    <row r="8705" spans="1:2" x14ac:dyDescent="0.35">
      <c r="A8705" s="32"/>
      <c r="B8705" s="32"/>
    </row>
    <row r="8706" spans="1:2" x14ac:dyDescent="0.35">
      <c r="A8706" s="32"/>
      <c r="B8706" s="32"/>
    </row>
    <row r="8707" spans="1:2" x14ac:dyDescent="0.35">
      <c r="A8707" s="32"/>
      <c r="B8707" s="32"/>
    </row>
    <row r="8708" spans="1:2" x14ac:dyDescent="0.35">
      <c r="A8708" s="32"/>
      <c r="B8708" s="32"/>
    </row>
    <row r="8709" spans="1:2" x14ac:dyDescent="0.35">
      <c r="A8709" s="32"/>
      <c r="B8709" s="32"/>
    </row>
    <row r="8710" spans="1:2" x14ac:dyDescent="0.35">
      <c r="A8710" s="32"/>
      <c r="B8710" s="32"/>
    </row>
    <row r="8711" spans="1:2" x14ac:dyDescent="0.35">
      <c r="A8711" s="32"/>
      <c r="B8711" s="32"/>
    </row>
    <row r="8712" spans="1:2" x14ac:dyDescent="0.35">
      <c r="A8712" s="32"/>
      <c r="B8712" s="32"/>
    </row>
    <row r="8713" spans="1:2" x14ac:dyDescent="0.35">
      <c r="A8713" s="32"/>
      <c r="B8713" s="32"/>
    </row>
    <row r="8714" spans="1:2" x14ac:dyDescent="0.35">
      <c r="A8714" s="32"/>
      <c r="B8714" s="32"/>
    </row>
    <row r="8715" spans="1:2" x14ac:dyDescent="0.35">
      <c r="A8715" s="32"/>
      <c r="B8715" s="32"/>
    </row>
    <row r="8716" spans="1:2" x14ac:dyDescent="0.35">
      <c r="A8716" s="32"/>
      <c r="B8716" s="32"/>
    </row>
    <row r="8717" spans="1:2" x14ac:dyDescent="0.35">
      <c r="A8717" s="32"/>
      <c r="B8717" s="32"/>
    </row>
    <row r="8718" spans="1:2" x14ac:dyDescent="0.35">
      <c r="A8718" s="32"/>
      <c r="B8718" s="32"/>
    </row>
    <row r="8719" spans="1:2" x14ac:dyDescent="0.35">
      <c r="A8719" s="32"/>
      <c r="B8719" s="32"/>
    </row>
    <row r="8720" spans="1:2" x14ac:dyDescent="0.35">
      <c r="A8720" s="32"/>
      <c r="B8720" s="32"/>
    </row>
    <row r="8721" spans="1:2" x14ac:dyDescent="0.35">
      <c r="A8721" s="32"/>
      <c r="B8721" s="32"/>
    </row>
    <row r="8722" spans="1:2" x14ac:dyDescent="0.35">
      <c r="A8722" s="32"/>
      <c r="B8722" s="32"/>
    </row>
    <row r="8723" spans="1:2" x14ac:dyDescent="0.35">
      <c r="A8723" s="32"/>
      <c r="B8723" s="32"/>
    </row>
    <row r="8724" spans="1:2" x14ac:dyDescent="0.35">
      <c r="A8724" s="32"/>
      <c r="B8724" s="32"/>
    </row>
    <row r="8725" spans="1:2" x14ac:dyDescent="0.35">
      <c r="A8725" s="32"/>
      <c r="B8725" s="32"/>
    </row>
    <row r="8726" spans="1:2" x14ac:dyDescent="0.35">
      <c r="A8726" s="32"/>
      <c r="B8726" s="32"/>
    </row>
    <row r="8727" spans="1:2" x14ac:dyDescent="0.35">
      <c r="A8727" s="32"/>
      <c r="B8727" s="32"/>
    </row>
    <row r="8728" spans="1:2" x14ac:dyDescent="0.35">
      <c r="A8728" s="32"/>
      <c r="B8728" s="32"/>
    </row>
    <row r="8729" spans="1:2" x14ac:dyDescent="0.35">
      <c r="A8729" s="32"/>
      <c r="B8729" s="32"/>
    </row>
    <row r="8730" spans="1:2" x14ac:dyDescent="0.35">
      <c r="A8730" s="32"/>
      <c r="B8730" s="32"/>
    </row>
    <row r="8731" spans="1:2" x14ac:dyDescent="0.35">
      <c r="A8731" s="32"/>
      <c r="B8731" s="32"/>
    </row>
    <row r="8732" spans="1:2" x14ac:dyDescent="0.35">
      <c r="A8732" s="32"/>
      <c r="B8732" s="32"/>
    </row>
    <row r="8733" spans="1:2" x14ac:dyDescent="0.35">
      <c r="A8733" s="32"/>
      <c r="B8733" s="32"/>
    </row>
    <row r="8734" spans="1:2" x14ac:dyDescent="0.35">
      <c r="A8734" s="32"/>
      <c r="B8734" s="32"/>
    </row>
    <row r="8735" spans="1:2" x14ac:dyDescent="0.35">
      <c r="A8735" s="32"/>
      <c r="B8735" s="32"/>
    </row>
    <row r="8736" spans="1:2" x14ac:dyDescent="0.35">
      <c r="A8736" s="32"/>
      <c r="B8736" s="32"/>
    </row>
    <row r="8737" spans="1:2" x14ac:dyDescent="0.35">
      <c r="A8737" s="32"/>
      <c r="B8737" s="32"/>
    </row>
    <row r="8738" spans="1:2" x14ac:dyDescent="0.35">
      <c r="A8738" s="32"/>
      <c r="B8738" s="32"/>
    </row>
    <row r="8739" spans="1:2" x14ac:dyDescent="0.35">
      <c r="A8739" s="32"/>
      <c r="B8739" s="32"/>
    </row>
    <row r="8740" spans="1:2" x14ac:dyDescent="0.35">
      <c r="A8740" s="32"/>
      <c r="B8740" s="32"/>
    </row>
    <row r="8741" spans="1:2" x14ac:dyDescent="0.35">
      <c r="A8741" s="32"/>
      <c r="B8741" s="32"/>
    </row>
    <row r="8742" spans="1:2" x14ac:dyDescent="0.35">
      <c r="A8742" s="32"/>
      <c r="B8742" s="32"/>
    </row>
    <row r="8743" spans="1:2" x14ac:dyDescent="0.35">
      <c r="A8743" s="32"/>
      <c r="B8743" s="32"/>
    </row>
    <row r="8744" spans="1:2" x14ac:dyDescent="0.35">
      <c r="A8744" s="32"/>
      <c r="B8744" s="32"/>
    </row>
    <row r="8745" spans="1:2" x14ac:dyDescent="0.35">
      <c r="A8745" s="32"/>
      <c r="B8745" s="32"/>
    </row>
    <row r="8746" spans="1:2" x14ac:dyDescent="0.35">
      <c r="A8746" s="32"/>
      <c r="B8746" s="32"/>
    </row>
    <row r="8747" spans="1:2" x14ac:dyDescent="0.35">
      <c r="A8747" s="32"/>
      <c r="B8747" s="32"/>
    </row>
    <row r="8748" spans="1:2" x14ac:dyDescent="0.35">
      <c r="A8748" s="32"/>
      <c r="B8748" s="32"/>
    </row>
    <row r="8749" spans="1:2" x14ac:dyDescent="0.35">
      <c r="A8749" s="32"/>
      <c r="B8749" s="32"/>
    </row>
    <row r="8750" spans="1:2" x14ac:dyDescent="0.35">
      <c r="A8750" s="32"/>
      <c r="B8750" s="32"/>
    </row>
    <row r="8751" spans="1:2" x14ac:dyDescent="0.35">
      <c r="A8751" s="32"/>
      <c r="B8751" s="32"/>
    </row>
    <row r="8752" spans="1:2" x14ac:dyDescent="0.35">
      <c r="A8752" s="32"/>
      <c r="B8752" s="32"/>
    </row>
    <row r="8753" spans="1:2" x14ac:dyDescent="0.35">
      <c r="A8753" s="32"/>
      <c r="B8753" s="32"/>
    </row>
    <row r="8754" spans="1:2" x14ac:dyDescent="0.35">
      <c r="A8754" s="32"/>
      <c r="B8754" s="32"/>
    </row>
    <row r="8755" spans="1:2" x14ac:dyDescent="0.35">
      <c r="A8755" s="32"/>
      <c r="B8755" s="32"/>
    </row>
    <row r="8756" spans="1:2" x14ac:dyDescent="0.35">
      <c r="A8756" s="32"/>
      <c r="B8756" s="32"/>
    </row>
    <row r="8757" spans="1:2" x14ac:dyDescent="0.35">
      <c r="A8757" s="32"/>
      <c r="B8757" s="32"/>
    </row>
    <row r="8758" spans="1:2" x14ac:dyDescent="0.35">
      <c r="A8758" s="32"/>
      <c r="B8758" s="32"/>
    </row>
    <row r="8759" spans="1:2" x14ac:dyDescent="0.35">
      <c r="A8759" s="32"/>
      <c r="B8759" s="32"/>
    </row>
    <row r="8760" spans="1:2" x14ac:dyDescent="0.35">
      <c r="A8760" s="32"/>
      <c r="B8760" s="32"/>
    </row>
    <row r="8761" spans="1:2" x14ac:dyDescent="0.35">
      <c r="A8761" s="32"/>
      <c r="B8761" s="32"/>
    </row>
    <row r="8762" spans="1:2" x14ac:dyDescent="0.35">
      <c r="A8762" s="32"/>
      <c r="B8762" s="32"/>
    </row>
    <row r="8763" spans="1:2" x14ac:dyDescent="0.35">
      <c r="A8763" s="32"/>
      <c r="B8763" s="32"/>
    </row>
    <row r="8764" spans="1:2" x14ac:dyDescent="0.35">
      <c r="A8764" s="32"/>
      <c r="B8764" s="32"/>
    </row>
    <row r="8765" spans="1:2" x14ac:dyDescent="0.35">
      <c r="A8765" s="32"/>
      <c r="B8765" s="32"/>
    </row>
    <row r="8766" spans="1:2" x14ac:dyDescent="0.35">
      <c r="A8766" s="32"/>
      <c r="B8766" s="32"/>
    </row>
    <row r="8767" spans="1:2" x14ac:dyDescent="0.35">
      <c r="A8767" s="32"/>
      <c r="B8767" s="32"/>
    </row>
    <row r="8768" spans="1:2" x14ac:dyDescent="0.35">
      <c r="A8768" s="32"/>
      <c r="B8768" s="32"/>
    </row>
    <row r="8769" spans="1:2" x14ac:dyDescent="0.35">
      <c r="A8769" s="32"/>
      <c r="B8769" s="32"/>
    </row>
    <row r="8770" spans="1:2" x14ac:dyDescent="0.35">
      <c r="A8770" s="32"/>
      <c r="B8770" s="32"/>
    </row>
    <row r="8771" spans="1:2" x14ac:dyDescent="0.35">
      <c r="A8771" s="32"/>
      <c r="B8771" s="32"/>
    </row>
    <row r="8772" spans="1:2" x14ac:dyDescent="0.35">
      <c r="A8772" s="32"/>
      <c r="B8772" s="32"/>
    </row>
    <row r="8773" spans="1:2" x14ac:dyDescent="0.35">
      <c r="A8773" s="32"/>
      <c r="B8773" s="32"/>
    </row>
    <row r="8774" spans="1:2" x14ac:dyDescent="0.35">
      <c r="A8774" s="32"/>
      <c r="B8774" s="32"/>
    </row>
    <row r="8775" spans="1:2" x14ac:dyDescent="0.35">
      <c r="A8775" s="32"/>
      <c r="B8775" s="32"/>
    </row>
    <row r="8776" spans="1:2" x14ac:dyDescent="0.35">
      <c r="A8776" s="32"/>
      <c r="B8776" s="32"/>
    </row>
    <row r="8777" spans="1:2" x14ac:dyDescent="0.35">
      <c r="A8777" s="32"/>
      <c r="B8777" s="32"/>
    </row>
    <row r="8778" spans="1:2" x14ac:dyDescent="0.35">
      <c r="A8778" s="32"/>
      <c r="B8778" s="32"/>
    </row>
    <row r="8779" spans="1:2" x14ac:dyDescent="0.35">
      <c r="A8779" s="32"/>
      <c r="B8779" s="32"/>
    </row>
    <row r="8780" spans="1:2" x14ac:dyDescent="0.35">
      <c r="A8780" s="32"/>
      <c r="B8780" s="32"/>
    </row>
    <row r="8781" spans="1:2" x14ac:dyDescent="0.35">
      <c r="A8781" s="32"/>
      <c r="B8781" s="32"/>
    </row>
    <row r="8782" spans="1:2" x14ac:dyDescent="0.35">
      <c r="A8782" s="32"/>
      <c r="B8782" s="32"/>
    </row>
    <row r="8783" spans="1:2" x14ac:dyDescent="0.35">
      <c r="A8783" s="32"/>
      <c r="B8783" s="32"/>
    </row>
    <row r="8784" spans="1:2" x14ac:dyDescent="0.35">
      <c r="A8784" s="32"/>
      <c r="B8784" s="32"/>
    </row>
    <row r="8785" spans="1:2" x14ac:dyDescent="0.35">
      <c r="A8785" s="32"/>
      <c r="B8785" s="32"/>
    </row>
    <row r="8786" spans="1:2" x14ac:dyDescent="0.35">
      <c r="A8786" s="32"/>
      <c r="B8786" s="32"/>
    </row>
    <row r="8787" spans="1:2" x14ac:dyDescent="0.35">
      <c r="A8787" s="32"/>
      <c r="B8787" s="32"/>
    </row>
    <row r="8788" spans="1:2" x14ac:dyDescent="0.35">
      <c r="A8788" s="32"/>
      <c r="B8788" s="32"/>
    </row>
    <row r="8789" spans="1:2" x14ac:dyDescent="0.35">
      <c r="A8789" s="32"/>
      <c r="B8789" s="32"/>
    </row>
    <row r="8790" spans="1:2" x14ac:dyDescent="0.35">
      <c r="A8790" s="32"/>
      <c r="B8790" s="32"/>
    </row>
    <row r="8791" spans="1:2" x14ac:dyDescent="0.35">
      <c r="A8791" s="32"/>
      <c r="B8791" s="32"/>
    </row>
    <row r="8792" spans="1:2" x14ac:dyDescent="0.35">
      <c r="A8792" s="32"/>
      <c r="B8792" s="32"/>
    </row>
    <row r="8793" spans="1:2" x14ac:dyDescent="0.35">
      <c r="A8793" s="32"/>
      <c r="B8793" s="32"/>
    </row>
    <row r="8794" spans="1:2" x14ac:dyDescent="0.35">
      <c r="A8794" s="32"/>
      <c r="B8794" s="32"/>
    </row>
    <row r="8795" spans="1:2" x14ac:dyDescent="0.35">
      <c r="A8795" s="32"/>
      <c r="B8795" s="32"/>
    </row>
    <row r="8796" spans="1:2" x14ac:dyDescent="0.35">
      <c r="A8796" s="32"/>
      <c r="B8796" s="32"/>
    </row>
    <row r="8797" spans="1:2" x14ac:dyDescent="0.35">
      <c r="A8797" s="32"/>
      <c r="B8797" s="32"/>
    </row>
    <row r="8798" spans="1:2" x14ac:dyDescent="0.35">
      <c r="A8798" s="32"/>
      <c r="B8798" s="32"/>
    </row>
    <row r="8799" spans="1:2" x14ac:dyDescent="0.35">
      <c r="A8799" s="32"/>
      <c r="B8799" s="32"/>
    </row>
    <row r="8800" spans="1:2" x14ac:dyDescent="0.35">
      <c r="A8800" s="32"/>
      <c r="B8800" s="32"/>
    </row>
    <row r="8801" spans="1:2" x14ac:dyDescent="0.35">
      <c r="A8801" s="32"/>
      <c r="B8801" s="32"/>
    </row>
    <row r="8802" spans="1:2" x14ac:dyDescent="0.35">
      <c r="A8802" s="32"/>
      <c r="B8802" s="32"/>
    </row>
    <row r="8803" spans="1:2" x14ac:dyDescent="0.35">
      <c r="A8803" s="32"/>
      <c r="B8803" s="32"/>
    </row>
    <row r="8804" spans="1:2" x14ac:dyDescent="0.35">
      <c r="A8804" s="32"/>
      <c r="B8804" s="32"/>
    </row>
    <row r="8805" spans="1:2" x14ac:dyDescent="0.35">
      <c r="A8805" s="32"/>
      <c r="B8805" s="32"/>
    </row>
    <row r="8806" spans="1:2" x14ac:dyDescent="0.35">
      <c r="A8806" s="32"/>
      <c r="B8806" s="32"/>
    </row>
    <row r="8807" spans="1:2" x14ac:dyDescent="0.35">
      <c r="A8807" s="32"/>
      <c r="B8807" s="32"/>
    </row>
    <row r="8808" spans="1:2" x14ac:dyDescent="0.35">
      <c r="A8808" s="32"/>
      <c r="B8808" s="32"/>
    </row>
    <row r="8809" spans="1:2" x14ac:dyDescent="0.35">
      <c r="A8809" s="32"/>
      <c r="B8809" s="32"/>
    </row>
    <row r="8810" spans="1:2" x14ac:dyDescent="0.35">
      <c r="A8810" s="32"/>
      <c r="B8810" s="32"/>
    </row>
    <row r="8811" spans="1:2" x14ac:dyDescent="0.35">
      <c r="A8811" s="32"/>
      <c r="B8811" s="32"/>
    </row>
    <row r="8812" spans="1:2" x14ac:dyDescent="0.35">
      <c r="A8812" s="32"/>
      <c r="B8812" s="32"/>
    </row>
    <row r="8813" spans="1:2" x14ac:dyDescent="0.35">
      <c r="A8813" s="32"/>
      <c r="B8813" s="32"/>
    </row>
    <row r="8814" spans="1:2" x14ac:dyDescent="0.35">
      <c r="A8814" s="32"/>
      <c r="B8814" s="32"/>
    </row>
    <row r="8815" spans="1:2" x14ac:dyDescent="0.35">
      <c r="A8815" s="32"/>
      <c r="B8815" s="32"/>
    </row>
    <row r="8816" spans="1:2" x14ac:dyDescent="0.35">
      <c r="A8816" s="32"/>
      <c r="B8816" s="32"/>
    </row>
    <row r="8817" spans="1:2" x14ac:dyDescent="0.35">
      <c r="A8817" s="32"/>
      <c r="B8817" s="32"/>
    </row>
    <row r="8818" spans="1:2" x14ac:dyDescent="0.35">
      <c r="A8818" s="32"/>
      <c r="B8818" s="32"/>
    </row>
    <row r="8819" spans="1:2" x14ac:dyDescent="0.35">
      <c r="A8819" s="32"/>
      <c r="B8819" s="32"/>
    </row>
    <row r="8820" spans="1:2" x14ac:dyDescent="0.35">
      <c r="A8820" s="32"/>
      <c r="B8820" s="32"/>
    </row>
    <row r="8821" spans="1:2" x14ac:dyDescent="0.35">
      <c r="A8821" s="32"/>
      <c r="B8821" s="32"/>
    </row>
    <row r="8822" spans="1:2" x14ac:dyDescent="0.35">
      <c r="A8822" s="32"/>
      <c r="B8822" s="32"/>
    </row>
    <row r="8823" spans="1:2" x14ac:dyDescent="0.35">
      <c r="A8823" s="32"/>
      <c r="B8823" s="32"/>
    </row>
    <row r="8824" spans="1:2" x14ac:dyDescent="0.35">
      <c r="A8824" s="32"/>
      <c r="B8824" s="32"/>
    </row>
    <row r="8825" spans="1:2" x14ac:dyDescent="0.35">
      <c r="A8825" s="32"/>
      <c r="B8825" s="32"/>
    </row>
    <row r="8826" spans="1:2" x14ac:dyDescent="0.35">
      <c r="A8826" s="32"/>
      <c r="B8826" s="32"/>
    </row>
    <row r="8827" spans="1:2" x14ac:dyDescent="0.35">
      <c r="A8827" s="32"/>
      <c r="B8827" s="32"/>
    </row>
    <row r="8828" spans="1:2" x14ac:dyDescent="0.35">
      <c r="A8828" s="32"/>
      <c r="B8828" s="32"/>
    </row>
    <row r="8829" spans="1:2" x14ac:dyDescent="0.35">
      <c r="A8829" s="32"/>
      <c r="B8829" s="32"/>
    </row>
    <row r="8830" spans="1:2" x14ac:dyDescent="0.35">
      <c r="A8830" s="32"/>
      <c r="B8830" s="32"/>
    </row>
    <row r="8831" spans="1:2" x14ac:dyDescent="0.35">
      <c r="A8831" s="32"/>
      <c r="B8831" s="32"/>
    </row>
    <row r="8832" spans="1:2" x14ac:dyDescent="0.35">
      <c r="A8832" s="32"/>
      <c r="B8832" s="32"/>
    </row>
    <row r="8833" spans="1:2" x14ac:dyDescent="0.35">
      <c r="A8833" s="32"/>
      <c r="B8833" s="32"/>
    </row>
    <row r="8834" spans="1:2" x14ac:dyDescent="0.35">
      <c r="A8834" s="32"/>
      <c r="B8834" s="32"/>
    </row>
    <row r="8835" spans="1:2" x14ac:dyDescent="0.35">
      <c r="A8835" s="32"/>
      <c r="B8835" s="32"/>
    </row>
    <row r="8836" spans="1:2" x14ac:dyDescent="0.35">
      <c r="A8836" s="32"/>
      <c r="B8836" s="32"/>
    </row>
    <row r="8837" spans="1:2" x14ac:dyDescent="0.35">
      <c r="A8837" s="32"/>
      <c r="B8837" s="32"/>
    </row>
    <row r="8838" spans="1:2" x14ac:dyDescent="0.35">
      <c r="A8838" s="32"/>
      <c r="B8838" s="32"/>
    </row>
    <row r="8839" spans="1:2" x14ac:dyDescent="0.35">
      <c r="A8839" s="32"/>
      <c r="B8839" s="32"/>
    </row>
    <row r="8840" spans="1:2" x14ac:dyDescent="0.35">
      <c r="A8840" s="32"/>
      <c r="B8840" s="32"/>
    </row>
    <row r="8841" spans="1:2" x14ac:dyDescent="0.35">
      <c r="A8841" s="32"/>
      <c r="B8841" s="32"/>
    </row>
    <row r="8842" spans="1:2" x14ac:dyDescent="0.35">
      <c r="A8842" s="32"/>
      <c r="B8842" s="32"/>
    </row>
    <row r="8843" spans="1:2" x14ac:dyDescent="0.35">
      <c r="A8843" s="32"/>
      <c r="B8843" s="32"/>
    </row>
    <row r="8844" spans="1:2" x14ac:dyDescent="0.35">
      <c r="A8844" s="32"/>
      <c r="B8844" s="32"/>
    </row>
    <row r="8845" spans="1:2" x14ac:dyDescent="0.35">
      <c r="A8845" s="32"/>
      <c r="B8845" s="32"/>
    </row>
    <row r="8846" spans="1:2" x14ac:dyDescent="0.35">
      <c r="A8846" s="32"/>
      <c r="B8846" s="32"/>
    </row>
    <row r="8847" spans="1:2" x14ac:dyDescent="0.35">
      <c r="A8847" s="32"/>
      <c r="B8847" s="32"/>
    </row>
    <row r="8848" spans="1:2" x14ac:dyDescent="0.35">
      <c r="A8848" s="32"/>
      <c r="B8848" s="32"/>
    </row>
    <row r="8849" spans="1:2" x14ac:dyDescent="0.35">
      <c r="A8849" s="32"/>
      <c r="B8849" s="32"/>
    </row>
    <row r="8850" spans="1:2" x14ac:dyDescent="0.35">
      <c r="A8850" s="32"/>
      <c r="B8850" s="32"/>
    </row>
    <row r="8851" spans="1:2" x14ac:dyDescent="0.35">
      <c r="A8851" s="32"/>
      <c r="B8851" s="32"/>
    </row>
    <row r="8852" spans="1:2" x14ac:dyDescent="0.35">
      <c r="A8852" s="32"/>
      <c r="B8852" s="32"/>
    </row>
    <row r="8853" spans="1:2" x14ac:dyDescent="0.35">
      <c r="A8853" s="32"/>
      <c r="B8853" s="32"/>
    </row>
    <row r="8854" spans="1:2" x14ac:dyDescent="0.35">
      <c r="A8854" s="32"/>
      <c r="B8854" s="32"/>
    </row>
    <row r="8855" spans="1:2" x14ac:dyDescent="0.35">
      <c r="A8855" s="32"/>
      <c r="B8855" s="32"/>
    </row>
    <row r="8856" spans="1:2" x14ac:dyDescent="0.35">
      <c r="A8856" s="32"/>
      <c r="B8856" s="32"/>
    </row>
    <row r="8857" spans="1:2" x14ac:dyDescent="0.35">
      <c r="A8857" s="32"/>
      <c r="B8857" s="32"/>
    </row>
    <row r="8858" spans="1:2" x14ac:dyDescent="0.35">
      <c r="A8858" s="32"/>
      <c r="B8858" s="32"/>
    </row>
    <row r="8859" spans="1:2" x14ac:dyDescent="0.35">
      <c r="A8859" s="32"/>
      <c r="B8859" s="32"/>
    </row>
    <row r="8860" spans="1:2" x14ac:dyDescent="0.35">
      <c r="A8860" s="32"/>
      <c r="B8860" s="32"/>
    </row>
    <row r="8861" spans="1:2" x14ac:dyDescent="0.35">
      <c r="A8861" s="32"/>
      <c r="B8861" s="32"/>
    </row>
    <row r="8862" spans="1:2" x14ac:dyDescent="0.35">
      <c r="A8862" s="32"/>
      <c r="B8862" s="32"/>
    </row>
    <row r="8863" spans="1:2" x14ac:dyDescent="0.35">
      <c r="A8863" s="32"/>
      <c r="B8863" s="32"/>
    </row>
    <row r="8864" spans="1:2" x14ac:dyDescent="0.35">
      <c r="A8864" s="32"/>
      <c r="B8864" s="32"/>
    </row>
    <row r="8865" spans="1:2" x14ac:dyDescent="0.35">
      <c r="A8865" s="32"/>
      <c r="B8865" s="32"/>
    </row>
    <row r="8866" spans="1:2" x14ac:dyDescent="0.35">
      <c r="A8866" s="32"/>
      <c r="B8866" s="32"/>
    </row>
    <row r="8867" spans="1:2" x14ac:dyDescent="0.35">
      <c r="A8867" s="32"/>
      <c r="B8867" s="32"/>
    </row>
    <row r="8868" spans="1:2" x14ac:dyDescent="0.35">
      <c r="A8868" s="32"/>
      <c r="B8868" s="32"/>
    </row>
    <row r="8869" spans="1:2" x14ac:dyDescent="0.35">
      <c r="A8869" s="32"/>
      <c r="B8869" s="32"/>
    </row>
    <row r="8870" spans="1:2" x14ac:dyDescent="0.35">
      <c r="A8870" s="32"/>
      <c r="B8870" s="32"/>
    </row>
    <row r="8871" spans="1:2" x14ac:dyDescent="0.35">
      <c r="A8871" s="32"/>
      <c r="B8871" s="32"/>
    </row>
    <row r="8872" spans="1:2" x14ac:dyDescent="0.35">
      <c r="A8872" s="32"/>
      <c r="B8872" s="32"/>
    </row>
    <row r="8873" spans="1:2" x14ac:dyDescent="0.35">
      <c r="A8873" s="32"/>
      <c r="B8873" s="32"/>
    </row>
    <row r="8874" spans="1:2" x14ac:dyDescent="0.35">
      <c r="A8874" s="32"/>
      <c r="B8874" s="32"/>
    </row>
    <row r="8875" spans="1:2" x14ac:dyDescent="0.35">
      <c r="A8875" s="32"/>
      <c r="B8875" s="32"/>
    </row>
    <row r="8876" spans="1:2" x14ac:dyDescent="0.35">
      <c r="A8876" s="32"/>
      <c r="B8876" s="32"/>
    </row>
    <row r="8877" spans="1:2" x14ac:dyDescent="0.35">
      <c r="A8877" s="32"/>
      <c r="B8877" s="32"/>
    </row>
    <row r="8878" spans="1:2" x14ac:dyDescent="0.35">
      <c r="A8878" s="32"/>
      <c r="B8878" s="32"/>
    </row>
    <row r="8879" spans="1:2" x14ac:dyDescent="0.35">
      <c r="A8879" s="32"/>
      <c r="B8879" s="32"/>
    </row>
    <row r="8880" spans="1:2" x14ac:dyDescent="0.35">
      <c r="A8880" s="32"/>
      <c r="B8880" s="32"/>
    </row>
    <row r="8881" spans="1:2" x14ac:dyDescent="0.35">
      <c r="A8881" s="32"/>
      <c r="B8881" s="32"/>
    </row>
    <row r="8882" spans="1:2" x14ac:dyDescent="0.35">
      <c r="A8882" s="32"/>
      <c r="B8882" s="32"/>
    </row>
    <row r="8883" spans="1:2" x14ac:dyDescent="0.35">
      <c r="A8883" s="32"/>
      <c r="B8883" s="32"/>
    </row>
    <row r="8884" spans="1:2" x14ac:dyDescent="0.35">
      <c r="A8884" s="32"/>
      <c r="B8884" s="32"/>
    </row>
    <row r="8885" spans="1:2" x14ac:dyDescent="0.35">
      <c r="A8885" s="32"/>
      <c r="B8885" s="32"/>
    </row>
    <row r="8886" spans="1:2" x14ac:dyDescent="0.35">
      <c r="A8886" s="32"/>
      <c r="B8886" s="32"/>
    </row>
    <row r="8887" spans="1:2" x14ac:dyDescent="0.35">
      <c r="A8887" s="32"/>
      <c r="B8887" s="32"/>
    </row>
    <row r="8888" spans="1:2" x14ac:dyDescent="0.35">
      <c r="A8888" s="32"/>
      <c r="B8888" s="32"/>
    </row>
    <row r="8889" spans="1:2" x14ac:dyDescent="0.35">
      <c r="A8889" s="32"/>
      <c r="B8889" s="32"/>
    </row>
    <row r="8890" spans="1:2" x14ac:dyDescent="0.35">
      <c r="A8890" s="32"/>
      <c r="B8890" s="32"/>
    </row>
    <row r="8891" spans="1:2" x14ac:dyDescent="0.35">
      <c r="A8891" s="32"/>
      <c r="B8891" s="32"/>
    </row>
    <row r="8892" spans="1:2" x14ac:dyDescent="0.35">
      <c r="A8892" s="32"/>
      <c r="B8892" s="32"/>
    </row>
    <row r="8893" spans="1:2" x14ac:dyDescent="0.35">
      <c r="A8893" s="32"/>
      <c r="B8893" s="32"/>
    </row>
    <row r="8894" spans="1:2" x14ac:dyDescent="0.35">
      <c r="A8894" s="32"/>
      <c r="B8894" s="32"/>
    </row>
    <row r="8895" spans="1:2" x14ac:dyDescent="0.35">
      <c r="A8895" s="32"/>
      <c r="B8895" s="32"/>
    </row>
    <row r="8896" spans="1:2" x14ac:dyDescent="0.35">
      <c r="A8896" s="32"/>
      <c r="B8896" s="32"/>
    </row>
    <row r="8897" spans="1:2" x14ac:dyDescent="0.35">
      <c r="A8897" s="32"/>
      <c r="B8897" s="32"/>
    </row>
    <row r="8898" spans="1:2" x14ac:dyDescent="0.35">
      <c r="A8898" s="32"/>
      <c r="B8898" s="32"/>
    </row>
    <row r="8899" spans="1:2" x14ac:dyDescent="0.35">
      <c r="A8899" s="32"/>
      <c r="B8899" s="32"/>
    </row>
    <row r="8900" spans="1:2" x14ac:dyDescent="0.35">
      <c r="A8900" s="32"/>
      <c r="B8900" s="32"/>
    </row>
    <row r="8901" spans="1:2" x14ac:dyDescent="0.35">
      <c r="A8901" s="32"/>
      <c r="B8901" s="32"/>
    </row>
    <row r="8902" spans="1:2" x14ac:dyDescent="0.35">
      <c r="A8902" s="32"/>
      <c r="B8902" s="32"/>
    </row>
    <row r="8903" spans="1:2" x14ac:dyDescent="0.35">
      <c r="A8903" s="32"/>
      <c r="B8903" s="32"/>
    </row>
    <row r="8904" spans="1:2" x14ac:dyDescent="0.35">
      <c r="A8904" s="32"/>
      <c r="B8904" s="32"/>
    </row>
    <row r="8905" spans="1:2" x14ac:dyDescent="0.35">
      <c r="A8905" s="32"/>
      <c r="B8905" s="32"/>
    </row>
    <row r="8906" spans="1:2" x14ac:dyDescent="0.35">
      <c r="A8906" s="32"/>
      <c r="B8906" s="32"/>
    </row>
    <row r="8907" spans="1:2" x14ac:dyDescent="0.35">
      <c r="A8907" s="32"/>
      <c r="B8907" s="32"/>
    </row>
    <row r="8908" spans="1:2" x14ac:dyDescent="0.35">
      <c r="A8908" s="32"/>
      <c r="B8908" s="32"/>
    </row>
    <row r="8909" spans="1:2" x14ac:dyDescent="0.35">
      <c r="A8909" s="32"/>
      <c r="B8909" s="32"/>
    </row>
    <row r="8910" spans="1:2" x14ac:dyDescent="0.35">
      <c r="A8910" s="32"/>
      <c r="B8910" s="32"/>
    </row>
    <row r="8911" spans="1:2" x14ac:dyDescent="0.35">
      <c r="A8911" s="32"/>
      <c r="B8911" s="32"/>
    </row>
    <row r="8912" spans="1:2" x14ac:dyDescent="0.35">
      <c r="A8912" s="32"/>
      <c r="B8912" s="32"/>
    </row>
    <row r="8913" spans="1:2" x14ac:dyDescent="0.35">
      <c r="A8913" s="32"/>
      <c r="B8913" s="32"/>
    </row>
    <row r="8914" spans="1:2" x14ac:dyDescent="0.35">
      <c r="A8914" s="32"/>
      <c r="B8914" s="32"/>
    </row>
    <row r="8915" spans="1:2" x14ac:dyDescent="0.35">
      <c r="A8915" s="32"/>
      <c r="B8915" s="32"/>
    </row>
    <row r="8916" spans="1:2" x14ac:dyDescent="0.35">
      <c r="A8916" s="32"/>
      <c r="B8916" s="32"/>
    </row>
    <row r="8917" spans="1:2" x14ac:dyDescent="0.35">
      <c r="A8917" s="32"/>
      <c r="B8917" s="32"/>
    </row>
    <row r="8918" spans="1:2" x14ac:dyDescent="0.35">
      <c r="A8918" s="32"/>
      <c r="B8918" s="32"/>
    </row>
    <row r="8919" spans="1:2" x14ac:dyDescent="0.35">
      <c r="A8919" s="32"/>
      <c r="B8919" s="32"/>
    </row>
    <row r="8920" spans="1:2" x14ac:dyDescent="0.35">
      <c r="A8920" s="32"/>
      <c r="B8920" s="32"/>
    </row>
    <row r="8921" spans="1:2" x14ac:dyDescent="0.35">
      <c r="A8921" s="32"/>
      <c r="B8921" s="32"/>
    </row>
    <row r="8922" spans="1:2" x14ac:dyDescent="0.35">
      <c r="A8922" s="32"/>
      <c r="B8922" s="32"/>
    </row>
    <row r="8923" spans="1:2" x14ac:dyDescent="0.35">
      <c r="A8923" s="32"/>
      <c r="B8923" s="32"/>
    </row>
    <row r="8924" spans="1:2" x14ac:dyDescent="0.35">
      <c r="A8924" s="32"/>
      <c r="B8924" s="32"/>
    </row>
    <row r="8925" spans="1:2" x14ac:dyDescent="0.35">
      <c r="A8925" s="32"/>
      <c r="B8925" s="32"/>
    </row>
    <row r="8926" spans="1:2" x14ac:dyDescent="0.35">
      <c r="A8926" s="32"/>
      <c r="B8926" s="32"/>
    </row>
    <row r="8927" spans="1:2" x14ac:dyDescent="0.35">
      <c r="A8927" s="32"/>
      <c r="B8927" s="32"/>
    </row>
    <row r="8928" spans="1:2" x14ac:dyDescent="0.35">
      <c r="A8928" s="32"/>
      <c r="B8928" s="32"/>
    </row>
    <row r="8929" spans="1:2" x14ac:dyDescent="0.35">
      <c r="A8929" s="32"/>
      <c r="B8929" s="32"/>
    </row>
    <row r="8930" spans="1:2" x14ac:dyDescent="0.35">
      <c r="A8930" s="32"/>
      <c r="B8930" s="32"/>
    </row>
    <row r="8931" spans="1:2" x14ac:dyDescent="0.35">
      <c r="A8931" s="32"/>
      <c r="B8931" s="32"/>
    </row>
    <row r="8932" spans="1:2" x14ac:dyDescent="0.35">
      <c r="A8932" s="32"/>
      <c r="B8932" s="32"/>
    </row>
    <row r="8933" spans="1:2" x14ac:dyDescent="0.35">
      <c r="A8933" s="32"/>
      <c r="B8933" s="32"/>
    </row>
    <row r="8934" spans="1:2" x14ac:dyDescent="0.35">
      <c r="A8934" s="32"/>
      <c r="B8934" s="32"/>
    </row>
    <row r="8935" spans="1:2" x14ac:dyDescent="0.35">
      <c r="A8935" s="32"/>
      <c r="B8935" s="32"/>
    </row>
    <row r="8936" spans="1:2" x14ac:dyDescent="0.35">
      <c r="A8936" s="32"/>
      <c r="B8936" s="32"/>
    </row>
    <row r="8937" spans="1:2" x14ac:dyDescent="0.35">
      <c r="A8937" s="32"/>
      <c r="B8937" s="32"/>
    </row>
    <row r="8938" spans="1:2" x14ac:dyDescent="0.35">
      <c r="A8938" s="32"/>
      <c r="B8938" s="32"/>
    </row>
    <row r="8939" spans="1:2" x14ac:dyDescent="0.35">
      <c r="A8939" s="32"/>
      <c r="B8939" s="32"/>
    </row>
    <row r="8940" spans="1:2" x14ac:dyDescent="0.35">
      <c r="A8940" s="32"/>
      <c r="B8940" s="32"/>
    </row>
    <row r="8941" spans="1:2" x14ac:dyDescent="0.35">
      <c r="A8941" s="32"/>
      <c r="B8941" s="32"/>
    </row>
    <row r="8942" spans="1:2" x14ac:dyDescent="0.35">
      <c r="A8942" s="32"/>
      <c r="B8942" s="32"/>
    </row>
    <row r="8943" spans="1:2" x14ac:dyDescent="0.35">
      <c r="A8943" s="32"/>
      <c r="B8943" s="32"/>
    </row>
    <row r="8944" spans="1:2" x14ac:dyDescent="0.35">
      <c r="A8944" s="32"/>
      <c r="B8944" s="32"/>
    </row>
    <row r="8945" spans="1:2" x14ac:dyDescent="0.35">
      <c r="A8945" s="32"/>
      <c r="B8945" s="32"/>
    </row>
    <row r="8946" spans="1:2" x14ac:dyDescent="0.35">
      <c r="A8946" s="32"/>
      <c r="B8946" s="32"/>
    </row>
    <row r="8947" spans="1:2" x14ac:dyDescent="0.35">
      <c r="A8947" s="32"/>
      <c r="B8947" s="32"/>
    </row>
    <row r="8948" spans="1:2" x14ac:dyDescent="0.35">
      <c r="A8948" s="32"/>
      <c r="B8948" s="32"/>
    </row>
    <row r="8949" spans="1:2" x14ac:dyDescent="0.35">
      <c r="A8949" s="32"/>
      <c r="B8949" s="32"/>
    </row>
    <row r="8950" spans="1:2" x14ac:dyDescent="0.35">
      <c r="A8950" s="32"/>
      <c r="B8950" s="32"/>
    </row>
    <row r="8951" spans="1:2" x14ac:dyDescent="0.35">
      <c r="A8951" s="32"/>
      <c r="B8951" s="32"/>
    </row>
    <row r="8952" spans="1:2" x14ac:dyDescent="0.35">
      <c r="A8952" s="32"/>
      <c r="B8952" s="32"/>
    </row>
    <row r="8953" spans="1:2" x14ac:dyDescent="0.35">
      <c r="A8953" s="32"/>
      <c r="B8953" s="32"/>
    </row>
    <row r="8954" spans="1:2" x14ac:dyDescent="0.35">
      <c r="A8954" s="32"/>
      <c r="B8954" s="32"/>
    </row>
    <row r="8955" spans="1:2" x14ac:dyDescent="0.35">
      <c r="A8955" s="32"/>
      <c r="B8955" s="32"/>
    </row>
    <row r="8956" spans="1:2" x14ac:dyDescent="0.35">
      <c r="A8956" s="32"/>
      <c r="B8956" s="32"/>
    </row>
    <row r="8957" spans="1:2" x14ac:dyDescent="0.35">
      <c r="A8957" s="32"/>
      <c r="B8957" s="32"/>
    </row>
    <row r="8958" spans="1:2" x14ac:dyDescent="0.35">
      <c r="A8958" s="32"/>
      <c r="B8958" s="32"/>
    </row>
    <row r="8959" spans="1:2" x14ac:dyDescent="0.35">
      <c r="A8959" s="32"/>
      <c r="B8959" s="32"/>
    </row>
    <row r="8960" spans="1:2" x14ac:dyDescent="0.35">
      <c r="A8960" s="32"/>
      <c r="B8960" s="32"/>
    </row>
    <row r="8961" spans="1:2" x14ac:dyDescent="0.35">
      <c r="A8961" s="32"/>
      <c r="B8961" s="32"/>
    </row>
    <row r="8962" spans="1:2" x14ac:dyDescent="0.35">
      <c r="A8962" s="32"/>
      <c r="B8962" s="32"/>
    </row>
    <row r="8963" spans="1:2" x14ac:dyDescent="0.35">
      <c r="A8963" s="32"/>
      <c r="B8963" s="32"/>
    </row>
    <row r="8964" spans="1:2" x14ac:dyDescent="0.35">
      <c r="A8964" s="32"/>
      <c r="B8964" s="32"/>
    </row>
    <row r="8965" spans="1:2" x14ac:dyDescent="0.35">
      <c r="A8965" s="32"/>
      <c r="B8965" s="32"/>
    </row>
    <row r="8966" spans="1:2" x14ac:dyDescent="0.35">
      <c r="A8966" s="32"/>
      <c r="B8966" s="32"/>
    </row>
    <row r="8967" spans="1:2" x14ac:dyDescent="0.35">
      <c r="A8967" s="32"/>
      <c r="B8967" s="32"/>
    </row>
    <row r="8968" spans="1:2" x14ac:dyDescent="0.35">
      <c r="A8968" s="32"/>
      <c r="B8968" s="32"/>
    </row>
    <row r="8969" spans="1:2" x14ac:dyDescent="0.35">
      <c r="A8969" s="32"/>
      <c r="B8969" s="32"/>
    </row>
    <row r="8970" spans="1:2" x14ac:dyDescent="0.35">
      <c r="A8970" s="32"/>
      <c r="B8970" s="32"/>
    </row>
    <row r="8971" spans="1:2" x14ac:dyDescent="0.35">
      <c r="A8971" s="32"/>
      <c r="B8971" s="32"/>
    </row>
    <row r="8972" spans="1:2" x14ac:dyDescent="0.35">
      <c r="A8972" s="32"/>
      <c r="B8972" s="32"/>
    </row>
    <row r="8973" spans="1:2" x14ac:dyDescent="0.35">
      <c r="A8973" s="32"/>
      <c r="B8973" s="32"/>
    </row>
    <row r="8974" spans="1:2" x14ac:dyDescent="0.35">
      <c r="A8974" s="32"/>
      <c r="B8974" s="32"/>
    </row>
    <row r="8975" spans="1:2" x14ac:dyDescent="0.35">
      <c r="A8975" s="32"/>
      <c r="B8975" s="32"/>
    </row>
    <row r="8976" spans="1:2" x14ac:dyDescent="0.35">
      <c r="A8976" s="32"/>
      <c r="B8976" s="32"/>
    </row>
    <row r="8977" spans="1:2" x14ac:dyDescent="0.35">
      <c r="A8977" s="32"/>
      <c r="B8977" s="32"/>
    </row>
    <row r="8978" spans="1:2" x14ac:dyDescent="0.35">
      <c r="A8978" s="32"/>
      <c r="B8978" s="32"/>
    </row>
    <row r="8979" spans="1:2" x14ac:dyDescent="0.35">
      <c r="A8979" s="32"/>
      <c r="B8979" s="32"/>
    </row>
    <row r="8980" spans="1:2" x14ac:dyDescent="0.35">
      <c r="A8980" s="32"/>
      <c r="B8980" s="32"/>
    </row>
    <row r="8981" spans="1:2" x14ac:dyDescent="0.35">
      <c r="A8981" s="32"/>
      <c r="B8981" s="32"/>
    </row>
    <row r="8982" spans="1:2" x14ac:dyDescent="0.35">
      <c r="A8982" s="32"/>
      <c r="B8982" s="32"/>
    </row>
    <row r="8983" spans="1:2" x14ac:dyDescent="0.35">
      <c r="A8983" s="32"/>
      <c r="B8983" s="32"/>
    </row>
    <row r="8984" spans="1:2" x14ac:dyDescent="0.35">
      <c r="A8984" s="32"/>
      <c r="B8984" s="32"/>
    </row>
    <row r="8985" spans="1:2" x14ac:dyDescent="0.35">
      <c r="A8985" s="32"/>
      <c r="B8985" s="32"/>
    </row>
    <row r="8986" spans="1:2" x14ac:dyDescent="0.35">
      <c r="A8986" s="32"/>
      <c r="B8986" s="32"/>
    </row>
    <row r="8987" spans="1:2" x14ac:dyDescent="0.35">
      <c r="A8987" s="32"/>
      <c r="B8987" s="32"/>
    </row>
    <row r="8988" spans="1:2" x14ac:dyDescent="0.35">
      <c r="A8988" s="32"/>
      <c r="B8988" s="32"/>
    </row>
    <row r="8989" spans="1:2" x14ac:dyDescent="0.35">
      <c r="A8989" s="32"/>
      <c r="B8989" s="32"/>
    </row>
    <row r="8990" spans="1:2" x14ac:dyDescent="0.35">
      <c r="A8990" s="32"/>
      <c r="B8990" s="32"/>
    </row>
    <row r="8991" spans="1:2" x14ac:dyDescent="0.35">
      <c r="A8991" s="32"/>
      <c r="B8991" s="32"/>
    </row>
    <row r="8992" spans="1:2" x14ac:dyDescent="0.35">
      <c r="A8992" s="32"/>
      <c r="B8992" s="32"/>
    </row>
    <row r="8993" spans="1:2" x14ac:dyDescent="0.35">
      <c r="A8993" s="32"/>
      <c r="B8993" s="32"/>
    </row>
    <row r="8994" spans="1:2" x14ac:dyDescent="0.35">
      <c r="A8994" s="32"/>
      <c r="B8994" s="32"/>
    </row>
    <row r="8995" spans="1:2" x14ac:dyDescent="0.35">
      <c r="A8995" s="32"/>
      <c r="B8995" s="32"/>
    </row>
    <row r="8996" spans="1:2" x14ac:dyDescent="0.35">
      <c r="A8996" s="32"/>
      <c r="B8996" s="32"/>
    </row>
    <row r="8997" spans="1:2" x14ac:dyDescent="0.35">
      <c r="A8997" s="32"/>
      <c r="B8997" s="32"/>
    </row>
    <row r="8998" spans="1:2" x14ac:dyDescent="0.35">
      <c r="A8998" s="32"/>
      <c r="B8998" s="32"/>
    </row>
    <row r="8999" spans="1:2" x14ac:dyDescent="0.35">
      <c r="A8999" s="32"/>
      <c r="B8999" s="32"/>
    </row>
    <row r="9000" spans="1:2" x14ac:dyDescent="0.35">
      <c r="A9000" s="32"/>
      <c r="B9000" s="32"/>
    </row>
    <row r="9001" spans="1:2" x14ac:dyDescent="0.35">
      <c r="A9001" s="32"/>
      <c r="B9001" s="32"/>
    </row>
    <row r="9002" spans="1:2" x14ac:dyDescent="0.35">
      <c r="A9002" s="32"/>
      <c r="B9002" s="32"/>
    </row>
    <row r="9003" spans="1:2" x14ac:dyDescent="0.35">
      <c r="A9003" s="32"/>
      <c r="B9003" s="32"/>
    </row>
    <row r="9004" spans="1:2" x14ac:dyDescent="0.35">
      <c r="A9004" s="32"/>
      <c r="B9004" s="32"/>
    </row>
    <row r="9005" spans="1:2" x14ac:dyDescent="0.35">
      <c r="A9005" s="32"/>
      <c r="B9005" s="32"/>
    </row>
    <row r="9006" spans="1:2" x14ac:dyDescent="0.35">
      <c r="A9006" s="32"/>
      <c r="B9006" s="32"/>
    </row>
    <row r="9007" spans="1:2" x14ac:dyDescent="0.35">
      <c r="A9007" s="32"/>
      <c r="B9007" s="32"/>
    </row>
    <row r="9008" spans="1:2" x14ac:dyDescent="0.35">
      <c r="A9008" s="32"/>
      <c r="B9008" s="32"/>
    </row>
    <row r="9009" spans="1:2" x14ac:dyDescent="0.35">
      <c r="A9009" s="32"/>
      <c r="B9009" s="32"/>
    </row>
    <row r="9010" spans="1:2" x14ac:dyDescent="0.35">
      <c r="A9010" s="32"/>
      <c r="B9010" s="32"/>
    </row>
    <row r="9011" spans="1:2" x14ac:dyDescent="0.35">
      <c r="A9011" s="32"/>
      <c r="B9011" s="32"/>
    </row>
    <row r="9012" spans="1:2" x14ac:dyDescent="0.35">
      <c r="A9012" s="32"/>
      <c r="B9012" s="32"/>
    </row>
    <row r="9013" spans="1:2" x14ac:dyDescent="0.35">
      <c r="A9013" s="32"/>
      <c r="B9013" s="32"/>
    </row>
    <row r="9014" spans="1:2" x14ac:dyDescent="0.35">
      <c r="A9014" s="32"/>
      <c r="B9014" s="32"/>
    </row>
    <row r="9015" spans="1:2" x14ac:dyDescent="0.35">
      <c r="A9015" s="32"/>
      <c r="B9015" s="32"/>
    </row>
    <row r="9016" spans="1:2" x14ac:dyDescent="0.35">
      <c r="A9016" s="32"/>
      <c r="B9016" s="32"/>
    </row>
    <row r="9017" spans="1:2" x14ac:dyDescent="0.35">
      <c r="A9017" s="32"/>
      <c r="B9017" s="32"/>
    </row>
    <row r="9018" spans="1:2" x14ac:dyDescent="0.35">
      <c r="A9018" s="32"/>
      <c r="B9018" s="32"/>
    </row>
    <row r="9019" spans="1:2" x14ac:dyDescent="0.35">
      <c r="A9019" s="32"/>
      <c r="B9019" s="32"/>
    </row>
    <row r="9020" spans="1:2" x14ac:dyDescent="0.35">
      <c r="A9020" s="32"/>
      <c r="B9020" s="32"/>
    </row>
    <row r="9021" spans="1:2" x14ac:dyDescent="0.35">
      <c r="A9021" s="32"/>
      <c r="B9021" s="32"/>
    </row>
    <row r="9022" spans="1:2" x14ac:dyDescent="0.35">
      <c r="A9022" s="32"/>
      <c r="B9022" s="32"/>
    </row>
    <row r="9023" spans="1:2" x14ac:dyDescent="0.35">
      <c r="A9023" s="32"/>
      <c r="B9023" s="32"/>
    </row>
    <row r="9024" spans="1:2" x14ac:dyDescent="0.35">
      <c r="A9024" s="32"/>
      <c r="B9024" s="32"/>
    </row>
    <row r="9025" spans="1:2" x14ac:dyDescent="0.35">
      <c r="A9025" s="32"/>
      <c r="B9025" s="32"/>
    </row>
    <row r="9026" spans="1:2" x14ac:dyDescent="0.35">
      <c r="A9026" s="32"/>
      <c r="B9026" s="32"/>
    </row>
    <row r="9027" spans="1:2" x14ac:dyDescent="0.35">
      <c r="A9027" s="32"/>
      <c r="B9027" s="32"/>
    </row>
    <row r="9028" spans="1:2" x14ac:dyDescent="0.35">
      <c r="A9028" s="32"/>
      <c r="B9028" s="32"/>
    </row>
    <row r="9029" spans="1:2" x14ac:dyDescent="0.35">
      <c r="A9029" s="32"/>
      <c r="B9029" s="32"/>
    </row>
    <row r="9030" spans="1:2" x14ac:dyDescent="0.35">
      <c r="A9030" s="32"/>
      <c r="B9030" s="32"/>
    </row>
    <row r="9031" spans="1:2" x14ac:dyDescent="0.35">
      <c r="A9031" s="32"/>
      <c r="B9031" s="32"/>
    </row>
    <row r="9032" spans="1:2" x14ac:dyDescent="0.35">
      <c r="A9032" s="32"/>
      <c r="B9032" s="32"/>
    </row>
    <row r="9033" spans="1:2" x14ac:dyDescent="0.35">
      <c r="A9033" s="32"/>
      <c r="B9033" s="32"/>
    </row>
    <row r="9034" spans="1:2" x14ac:dyDescent="0.35">
      <c r="A9034" s="32"/>
      <c r="B9034" s="32"/>
    </row>
    <row r="9035" spans="1:2" x14ac:dyDescent="0.35">
      <c r="A9035" s="32"/>
      <c r="B9035" s="32"/>
    </row>
    <row r="9036" spans="1:2" x14ac:dyDescent="0.35">
      <c r="A9036" s="32"/>
      <c r="B9036" s="32"/>
    </row>
    <row r="9037" spans="1:2" x14ac:dyDescent="0.35">
      <c r="A9037" s="32"/>
      <c r="B9037" s="32"/>
    </row>
    <row r="9038" spans="1:2" x14ac:dyDescent="0.35">
      <c r="A9038" s="32"/>
      <c r="B9038" s="32"/>
    </row>
    <row r="9039" spans="1:2" x14ac:dyDescent="0.35">
      <c r="A9039" s="32"/>
      <c r="B9039" s="32"/>
    </row>
    <row r="9040" spans="1:2" x14ac:dyDescent="0.35">
      <c r="A9040" s="32"/>
      <c r="B9040" s="32"/>
    </row>
    <row r="9041" spans="1:2" x14ac:dyDescent="0.35">
      <c r="A9041" s="32"/>
      <c r="B9041" s="32"/>
    </row>
    <row r="9042" spans="1:2" x14ac:dyDescent="0.35">
      <c r="A9042" s="32"/>
      <c r="B9042" s="32"/>
    </row>
    <row r="9043" spans="1:2" x14ac:dyDescent="0.35">
      <c r="A9043" s="32"/>
      <c r="B9043" s="32"/>
    </row>
    <row r="9044" spans="1:2" x14ac:dyDescent="0.35">
      <c r="A9044" s="32"/>
      <c r="B9044" s="32"/>
    </row>
    <row r="9045" spans="1:2" x14ac:dyDescent="0.35">
      <c r="A9045" s="32"/>
      <c r="B9045" s="32"/>
    </row>
    <row r="9046" spans="1:2" x14ac:dyDescent="0.35">
      <c r="A9046" s="32"/>
      <c r="B9046" s="32"/>
    </row>
    <row r="9047" spans="1:2" x14ac:dyDescent="0.35">
      <c r="A9047" s="32"/>
      <c r="B9047" s="32"/>
    </row>
    <row r="9048" spans="1:2" x14ac:dyDescent="0.35">
      <c r="A9048" s="32"/>
      <c r="B9048" s="32"/>
    </row>
    <row r="9049" spans="1:2" x14ac:dyDescent="0.35">
      <c r="A9049" s="32"/>
      <c r="B9049" s="32"/>
    </row>
    <row r="9050" spans="1:2" x14ac:dyDescent="0.35">
      <c r="A9050" s="32"/>
      <c r="B9050" s="32"/>
    </row>
    <row r="9051" spans="1:2" x14ac:dyDescent="0.35">
      <c r="A9051" s="32"/>
      <c r="B9051" s="32"/>
    </row>
    <row r="9052" spans="1:2" x14ac:dyDescent="0.35">
      <c r="A9052" s="32"/>
      <c r="B9052" s="32"/>
    </row>
    <row r="9053" spans="1:2" x14ac:dyDescent="0.35">
      <c r="A9053" s="32"/>
      <c r="B9053" s="32"/>
    </row>
    <row r="9054" spans="1:2" x14ac:dyDescent="0.35">
      <c r="A9054" s="32"/>
      <c r="B9054" s="32"/>
    </row>
    <row r="9055" spans="1:2" x14ac:dyDescent="0.35">
      <c r="A9055" s="32"/>
      <c r="B9055" s="32"/>
    </row>
    <row r="9056" spans="1:2" x14ac:dyDescent="0.35">
      <c r="A9056" s="32"/>
      <c r="B9056" s="32"/>
    </row>
    <row r="9057" spans="1:2" x14ac:dyDescent="0.35">
      <c r="A9057" s="32"/>
      <c r="B9057" s="32"/>
    </row>
    <row r="9058" spans="1:2" x14ac:dyDescent="0.35">
      <c r="A9058" s="32"/>
      <c r="B9058" s="32"/>
    </row>
    <row r="9059" spans="1:2" x14ac:dyDescent="0.35">
      <c r="A9059" s="32"/>
      <c r="B9059" s="32"/>
    </row>
    <row r="9060" spans="1:2" x14ac:dyDescent="0.35">
      <c r="A9060" s="32"/>
      <c r="B9060" s="32"/>
    </row>
    <row r="9061" spans="1:2" x14ac:dyDescent="0.35">
      <c r="A9061" s="32"/>
      <c r="B9061" s="32"/>
    </row>
    <row r="9062" spans="1:2" x14ac:dyDescent="0.35">
      <c r="A9062" s="32"/>
      <c r="B9062" s="32"/>
    </row>
    <row r="9063" spans="1:2" x14ac:dyDescent="0.35">
      <c r="A9063" s="32"/>
      <c r="B9063" s="32"/>
    </row>
    <row r="9064" spans="1:2" x14ac:dyDescent="0.35">
      <c r="A9064" s="32"/>
      <c r="B9064" s="32"/>
    </row>
    <row r="9065" spans="1:2" x14ac:dyDescent="0.35">
      <c r="A9065" s="32"/>
      <c r="B9065" s="32"/>
    </row>
    <row r="9066" spans="1:2" x14ac:dyDescent="0.35">
      <c r="A9066" s="32"/>
      <c r="B9066" s="32"/>
    </row>
    <row r="9067" spans="1:2" x14ac:dyDescent="0.35">
      <c r="A9067" s="32"/>
      <c r="B9067" s="32"/>
    </row>
    <row r="9068" spans="1:2" x14ac:dyDescent="0.35">
      <c r="A9068" s="32"/>
      <c r="B9068" s="32"/>
    </row>
    <row r="9069" spans="1:2" x14ac:dyDescent="0.35">
      <c r="A9069" s="32"/>
      <c r="B9069" s="32"/>
    </row>
    <row r="9070" spans="1:2" x14ac:dyDescent="0.35">
      <c r="A9070" s="32"/>
      <c r="B9070" s="32"/>
    </row>
    <row r="9071" spans="1:2" x14ac:dyDescent="0.35">
      <c r="A9071" s="32"/>
      <c r="B9071" s="32"/>
    </row>
    <row r="9072" spans="1:2" x14ac:dyDescent="0.35">
      <c r="A9072" s="32"/>
      <c r="B9072" s="32"/>
    </row>
    <row r="9073" spans="1:2" x14ac:dyDescent="0.35">
      <c r="A9073" s="32"/>
      <c r="B9073" s="32"/>
    </row>
    <row r="9074" spans="1:2" x14ac:dyDescent="0.35">
      <c r="A9074" s="32"/>
      <c r="B9074" s="32"/>
    </row>
    <row r="9075" spans="1:2" x14ac:dyDescent="0.35">
      <c r="A9075" s="32"/>
      <c r="B9075" s="32"/>
    </row>
    <row r="9076" spans="1:2" x14ac:dyDescent="0.35">
      <c r="A9076" s="32"/>
      <c r="B9076" s="32"/>
    </row>
    <row r="9077" spans="1:2" x14ac:dyDescent="0.35">
      <c r="A9077" s="32"/>
      <c r="B9077" s="32"/>
    </row>
    <row r="9078" spans="1:2" x14ac:dyDescent="0.35">
      <c r="A9078" s="32"/>
      <c r="B9078" s="32"/>
    </row>
    <row r="9079" spans="1:2" x14ac:dyDescent="0.35">
      <c r="A9079" s="32"/>
      <c r="B9079" s="32"/>
    </row>
    <row r="9080" spans="1:2" x14ac:dyDescent="0.35">
      <c r="A9080" s="32"/>
      <c r="B9080" s="32"/>
    </row>
    <row r="9081" spans="1:2" x14ac:dyDescent="0.35">
      <c r="A9081" s="32"/>
      <c r="B9081" s="32"/>
    </row>
    <row r="9082" spans="1:2" x14ac:dyDescent="0.35">
      <c r="A9082" s="32"/>
      <c r="B9082" s="32"/>
    </row>
    <row r="9083" spans="1:2" x14ac:dyDescent="0.35">
      <c r="A9083" s="32"/>
      <c r="B9083" s="32"/>
    </row>
    <row r="9084" spans="1:2" x14ac:dyDescent="0.35">
      <c r="A9084" s="32"/>
      <c r="B9084" s="32"/>
    </row>
    <row r="9085" spans="1:2" x14ac:dyDescent="0.35">
      <c r="A9085" s="32"/>
      <c r="B9085" s="32"/>
    </row>
    <row r="9086" spans="1:2" x14ac:dyDescent="0.35">
      <c r="A9086" s="32"/>
      <c r="B9086" s="32"/>
    </row>
    <row r="9087" spans="1:2" x14ac:dyDescent="0.35">
      <c r="A9087" s="32"/>
      <c r="B9087" s="32"/>
    </row>
    <row r="9088" spans="1:2" x14ac:dyDescent="0.35">
      <c r="A9088" s="32"/>
      <c r="B9088" s="32"/>
    </row>
    <row r="9089" spans="1:2" x14ac:dyDescent="0.35">
      <c r="A9089" s="32"/>
      <c r="B9089" s="32"/>
    </row>
    <row r="9090" spans="1:2" x14ac:dyDescent="0.35">
      <c r="A9090" s="32"/>
      <c r="B9090" s="32"/>
    </row>
    <row r="9091" spans="1:2" x14ac:dyDescent="0.35">
      <c r="A9091" s="32"/>
      <c r="B9091" s="32"/>
    </row>
    <row r="9092" spans="1:2" x14ac:dyDescent="0.35">
      <c r="A9092" s="32"/>
      <c r="B9092" s="32"/>
    </row>
    <row r="9093" spans="1:2" x14ac:dyDescent="0.35">
      <c r="A9093" s="32"/>
      <c r="B9093" s="32"/>
    </row>
    <row r="9094" spans="1:2" x14ac:dyDescent="0.35">
      <c r="A9094" s="32"/>
      <c r="B9094" s="32"/>
    </row>
    <row r="9095" spans="1:2" x14ac:dyDescent="0.35">
      <c r="A9095" s="32"/>
      <c r="B9095" s="32"/>
    </row>
    <row r="9096" spans="1:2" x14ac:dyDescent="0.35">
      <c r="A9096" s="32"/>
      <c r="B9096" s="32"/>
    </row>
    <row r="9097" spans="1:2" x14ac:dyDescent="0.35">
      <c r="A9097" s="32"/>
      <c r="B9097" s="32"/>
    </row>
    <row r="9098" spans="1:2" x14ac:dyDescent="0.35">
      <c r="A9098" s="32"/>
      <c r="B9098" s="32"/>
    </row>
    <row r="9099" spans="1:2" x14ac:dyDescent="0.35">
      <c r="A9099" s="32"/>
      <c r="B9099" s="32"/>
    </row>
    <row r="9100" spans="1:2" x14ac:dyDescent="0.35">
      <c r="A9100" s="32"/>
      <c r="B9100" s="32"/>
    </row>
    <row r="9101" spans="1:2" x14ac:dyDescent="0.35">
      <c r="A9101" s="32"/>
      <c r="B9101" s="32"/>
    </row>
    <row r="9102" spans="1:2" x14ac:dyDescent="0.35">
      <c r="A9102" s="32"/>
      <c r="B9102" s="32"/>
    </row>
    <row r="9103" spans="1:2" x14ac:dyDescent="0.35">
      <c r="A9103" s="32"/>
      <c r="B9103" s="32"/>
    </row>
    <row r="9104" spans="1:2" x14ac:dyDescent="0.35">
      <c r="A9104" s="32"/>
      <c r="B9104" s="32"/>
    </row>
    <row r="9105" spans="1:2" x14ac:dyDescent="0.35">
      <c r="A9105" s="32"/>
      <c r="B9105" s="32"/>
    </row>
    <row r="9106" spans="1:2" x14ac:dyDescent="0.35">
      <c r="A9106" s="32"/>
      <c r="B9106" s="32"/>
    </row>
    <row r="9107" spans="1:2" x14ac:dyDescent="0.35">
      <c r="A9107" s="32"/>
      <c r="B9107" s="32"/>
    </row>
    <row r="9108" spans="1:2" x14ac:dyDescent="0.35">
      <c r="A9108" s="32"/>
      <c r="B9108" s="32"/>
    </row>
    <row r="9109" spans="1:2" x14ac:dyDescent="0.35">
      <c r="A9109" s="32"/>
      <c r="B9109" s="32"/>
    </row>
    <row r="9110" spans="1:2" x14ac:dyDescent="0.35">
      <c r="A9110" s="32"/>
      <c r="B9110" s="32"/>
    </row>
    <row r="9111" spans="1:2" x14ac:dyDescent="0.35">
      <c r="A9111" s="32"/>
      <c r="B9111" s="32"/>
    </row>
    <row r="9112" spans="1:2" x14ac:dyDescent="0.35">
      <c r="A9112" s="32"/>
      <c r="B9112" s="32"/>
    </row>
    <row r="9113" spans="1:2" x14ac:dyDescent="0.35">
      <c r="A9113" s="32"/>
      <c r="B9113" s="32"/>
    </row>
    <row r="9114" spans="1:2" x14ac:dyDescent="0.35">
      <c r="A9114" s="32"/>
      <c r="B9114" s="32"/>
    </row>
    <row r="9115" spans="1:2" x14ac:dyDescent="0.35">
      <c r="A9115" s="32"/>
      <c r="B9115" s="32"/>
    </row>
    <row r="9116" spans="1:2" x14ac:dyDescent="0.35">
      <c r="A9116" s="32"/>
      <c r="B9116" s="32"/>
    </row>
    <row r="9117" spans="1:2" x14ac:dyDescent="0.35">
      <c r="A9117" s="32"/>
      <c r="B9117" s="32"/>
    </row>
    <row r="9118" spans="1:2" x14ac:dyDescent="0.35">
      <c r="A9118" s="32"/>
      <c r="B9118" s="32"/>
    </row>
    <row r="9119" spans="1:2" x14ac:dyDescent="0.35">
      <c r="A9119" s="32"/>
      <c r="B9119" s="32"/>
    </row>
    <row r="9120" spans="1:2" x14ac:dyDescent="0.35">
      <c r="A9120" s="32"/>
      <c r="B9120" s="32"/>
    </row>
    <row r="9121" spans="1:2" x14ac:dyDescent="0.35">
      <c r="A9121" s="32"/>
      <c r="B9121" s="32"/>
    </row>
    <row r="9122" spans="1:2" x14ac:dyDescent="0.35">
      <c r="A9122" s="32"/>
      <c r="B9122" s="32"/>
    </row>
    <row r="9123" spans="1:2" x14ac:dyDescent="0.35">
      <c r="A9123" s="32"/>
      <c r="B9123" s="32"/>
    </row>
    <row r="9124" spans="1:2" x14ac:dyDescent="0.35">
      <c r="A9124" s="32"/>
      <c r="B9124" s="32"/>
    </row>
    <row r="9125" spans="1:2" x14ac:dyDescent="0.35">
      <c r="A9125" s="32"/>
      <c r="B9125" s="32"/>
    </row>
    <row r="9126" spans="1:2" x14ac:dyDescent="0.35">
      <c r="A9126" s="32"/>
      <c r="B9126" s="32"/>
    </row>
    <row r="9127" spans="1:2" x14ac:dyDescent="0.35">
      <c r="A9127" s="32"/>
      <c r="B9127" s="32"/>
    </row>
    <row r="9128" spans="1:2" x14ac:dyDescent="0.35">
      <c r="A9128" s="32"/>
      <c r="B9128" s="32"/>
    </row>
    <row r="9129" spans="1:2" x14ac:dyDescent="0.35">
      <c r="A9129" s="32"/>
      <c r="B9129" s="32"/>
    </row>
    <row r="9130" spans="1:2" x14ac:dyDescent="0.35">
      <c r="A9130" s="32"/>
      <c r="B9130" s="32"/>
    </row>
    <row r="9131" spans="1:2" x14ac:dyDescent="0.35">
      <c r="A9131" s="32"/>
      <c r="B9131" s="32"/>
    </row>
    <row r="9132" spans="1:2" x14ac:dyDescent="0.35">
      <c r="A9132" s="32"/>
      <c r="B9132" s="32"/>
    </row>
    <row r="9133" spans="1:2" x14ac:dyDescent="0.35">
      <c r="A9133" s="32"/>
      <c r="B9133" s="32"/>
    </row>
    <row r="9134" spans="1:2" x14ac:dyDescent="0.35">
      <c r="A9134" s="32"/>
      <c r="B9134" s="32"/>
    </row>
    <row r="9135" spans="1:2" x14ac:dyDescent="0.35">
      <c r="A9135" s="32"/>
      <c r="B9135" s="32"/>
    </row>
    <row r="9136" spans="1:2" x14ac:dyDescent="0.35">
      <c r="A9136" s="32"/>
      <c r="B9136" s="32"/>
    </row>
    <row r="9137" spans="1:2" x14ac:dyDescent="0.35">
      <c r="A9137" s="32"/>
      <c r="B9137" s="32"/>
    </row>
    <row r="9138" spans="1:2" x14ac:dyDescent="0.35">
      <c r="A9138" s="32"/>
      <c r="B9138" s="32"/>
    </row>
    <row r="9139" spans="1:2" x14ac:dyDescent="0.35">
      <c r="A9139" s="32"/>
      <c r="B9139" s="32"/>
    </row>
    <row r="9140" spans="1:2" x14ac:dyDescent="0.35">
      <c r="A9140" s="32"/>
      <c r="B9140" s="32"/>
    </row>
    <row r="9141" spans="1:2" x14ac:dyDescent="0.35">
      <c r="A9141" s="32"/>
      <c r="B9141" s="32"/>
    </row>
    <row r="9142" spans="1:2" x14ac:dyDescent="0.35">
      <c r="A9142" s="32"/>
      <c r="B9142" s="32"/>
    </row>
    <row r="9143" spans="1:2" x14ac:dyDescent="0.35">
      <c r="A9143" s="32"/>
      <c r="B9143" s="32"/>
    </row>
    <row r="9144" spans="1:2" x14ac:dyDescent="0.35">
      <c r="A9144" s="32"/>
      <c r="B9144" s="32"/>
    </row>
    <row r="9145" spans="1:2" x14ac:dyDescent="0.35">
      <c r="A9145" s="32"/>
      <c r="B9145" s="32"/>
    </row>
    <row r="9146" spans="1:2" x14ac:dyDescent="0.35">
      <c r="A9146" s="32"/>
      <c r="B9146" s="32"/>
    </row>
    <row r="9147" spans="1:2" x14ac:dyDescent="0.35">
      <c r="A9147" s="32"/>
      <c r="B9147" s="32"/>
    </row>
    <row r="9148" spans="1:2" x14ac:dyDescent="0.35">
      <c r="A9148" s="32"/>
      <c r="B9148" s="32"/>
    </row>
    <row r="9149" spans="1:2" x14ac:dyDescent="0.35">
      <c r="A9149" s="32"/>
      <c r="B9149" s="32"/>
    </row>
    <row r="9150" spans="1:2" x14ac:dyDescent="0.35">
      <c r="A9150" s="32"/>
      <c r="B9150" s="32"/>
    </row>
    <row r="9151" spans="1:2" x14ac:dyDescent="0.35">
      <c r="A9151" s="32"/>
      <c r="B9151" s="32"/>
    </row>
    <row r="9152" spans="1:2" x14ac:dyDescent="0.35">
      <c r="A9152" s="32"/>
      <c r="B9152" s="32"/>
    </row>
    <row r="9153" spans="1:2" x14ac:dyDescent="0.35">
      <c r="A9153" s="32"/>
      <c r="B9153" s="32"/>
    </row>
    <row r="9154" spans="1:2" x14ac:dyDescent="0.35">
      <c r="A9154" s="32"/>
      <c r="B9154" s="32"/>
    </row>
    <row r="9155" spans="1:2" x14ac:dyDescent="0.35">
      <c r="A9155" s="32"/>
      <c r="B9155" s="32"/>
    </row>
    <row r="9156" spans="1:2" x14ac:dyDescent="0.35">
      <c r="A9156" s="32"/>
      <c r="B9156" s="32"/>
    </row>
    <row r="9157" spans="1:2" x14ac:dyDescent="0.35">
      <c r="A9157" s="32"/>
      <c r="B9157" s="32"/>
    </row>
    <row r="9158" spans="1:2" x14ac:dyDescent="0.35">
      <c r="A9158" s="32"/>
      <c r="B9158" s="32"/>
    </row>
    <row r="9159" spans="1:2" x14ac:dyDescent="0.35">
      <c r="A9159" s="32"/>
      <c r="B9159" s="32"/>
    </row>
    <row r="9160" spans="1:2" x14ac:dyDescent="0.35">
      <c r="A9160" s="32"/>
      <c r="B9160" s="32"/>
    </row>
    <row r="9161" spans="1:2" x14ac:dyDescent="0.35">
      <c r="A9161" s="32"/>
      <c r="B9161" s="32"/>
    </row>
    <row r="9162" spans="1:2" x14ac:dyDescent="0.35">
      <c r="A9162" s="32"/>
      <c r="B9162" s="32"/>
    </row>
    <row r="9163" spans="1:2" x14ac:dyDescent="0.35">
      <c r="A9163" s="32"/>
      <c r="B9163" s="32"/>
    </row>
    <row r="9164" spans="1:2" x14ac:dyDescent="0.35">
      <c r="A9164" s="32"/>
      <c r="B9164" s="32"/>
    </row>
    <row r="9165" spans="1:2" x14ac:dyDescent="0.35">
      <c r="A9165" s="32"/>
      <c r="B9165" s="32"/>
    </row>
    <row r="9166" spans="1:2" x14ac:dyDescent="0.35">
      <c r="A9166" s="32"/>
      <c r="B9166" s="32"/>
    </row>
    <row r="9167" spans="1:2" x14ac:dyDescent="0.35">
      <c r="A9167" s="32"/>
      <c r="B9167" s="32"/>
    </row>
    <row r="9168" spans="1:2" x14ac:dyDescent="0.35">
      <c r="A9168" s="32"/>
      <c r="B9168" s="32"/>
    </row>
    <row r="9169" spans="1:2" x14ac:dyDescent="0.35">
      <c r="A9169" s="32"/>
      <c r="B9169" s="32"/>
    </row>
    <row r="9170" spans="1:2" x14ac:dyDescent="0.35">
      <c r="A9170" s="32"/>
      <c r="B9170" s="32"/>
    </row>
    <row r="9171" spans="1:2" x14ac:dyDescent="0.35">
      <c r="A9171" s="32"/>
      <c r="B9171" s="32"/>
    </row>
    <row r="9172" spans="1:2" x14ac:dyDescent="0.35">
      <c r="A9172" s="32"/>
      <c r="B9172" s="32"/>
    </row>
    <row r="9173" spans="1:2" x14ac:dyDescent="0.35">
      <c r="A9173" s="32"/>
      <c r="B9173" s="32"/>
    </row>
    <row r="9174" spans="1:2" x14ac:dyDescent="0.35">
      <c r="A9174" s="32"/>
      <c r="B9174" s="32"/>
    </row>
    <row r="9175" spans="1:2" x14ac:dyDescent="0.35">
      <c r="A9175" s="32"/>
      <c r="B9175" s="32"/>
    </row>
    <row r="9176" spans="1:2" x14ac:dyDescent="0.35">
      <c r="A9176" s="32"/>
      <c r="B9176" s="32"/>
    </row>
    <row r="9177" spans="1:2" x14ac:dyDescent="0.35">
      <c r="A9177" s="32"/>
      <c r="B9177" s="32"/>
    </row>
    <row r="9178" spans="1:2" x14ac:dyDescent="0.35">
      <c r="A9178" s="32"/>
      <c r="B9178" s="32"/>
    </row>
    <row r="9179" spans="1:2" x14ac:dyDescent="0.35">
      <c r="A9179" s="32"/>
      <c r="B9179" s="32"/>
    </row>
    <row r="9180" spans="1:2" x14ac:dyDescent="0.35">
      <c r="A9180" s="32"/>
      <c r="B9180" s="32"/>
    </row>
    <row r="9181" spans="1:2" x14ac:dyDescent="0.35">
      <c r="A9181" s="32"/>
      <c r="B9181" s="32"/>
    </row>
    <row r="9182" spans="1:2" x14ac:dyDescent="0.35">
      <c r="A9182" s="32"/>
      <c r="B9182" s="32"/>
    </row>
    <row r="9183" spans="1:2" x14ac:dyDescent="0.35">
      <c r="A9183" s="32"/>
      <c r="B9183" s="32"/>
    </row>
    <row r="9184" spans="1:2" x14ac:dyDescent="0.35">
      <c r="A9184" s="32"/>
      <c r="B9184" s="32"/>
    </row>
    <row r="9185" spans="1:2" x14ac:dyDescent="0.35">
      <c r="A9185" s="32"/>
      <c r="B9185" s="32"/>
    </row>
    <row r="9186" spans="1:2" x14ac:dyDescent="0.35">
      <c r="A9186" s="32"/>
      <c r="B9186" s="32"/>
    </row>
    <row r="9187" spans="1:2" x14ac:dyDescent="0.35">
      <c r="A9187" s="32"/>
      <c r="B9187" s="32"/>
    </row>
    <row r="9188" spans="1:2" x14ac:dyDescent="0.35">
      <c r="A9188" s="32"/>
      <c r="B9188" s="32"/>
    </row>
    <row r="9189" spans="1:2" x14ac:dyDescent="0.35">
      <c r="A9189" s="32"/>
      <c r="B9189" s="32"/>
    </row>
    <row r="9190" spans="1:2" x14ac:dyDescent="0.35">
      <c r="A9190" s="32"/>
      <c r="B9190" s="32"/>
    </row>
    <row r="9191" spans="1:2" x14ac:dyDescent="0.35">
      <c r="A9191" s="32"/>
      <c r="B9191" s="32"/>
    </row>
    <row r="9192" spans="1:2" x14ac:dyDescent="0.35">
      <c r="A9192" s="32"/>
      <c r="B9192" s="32"/>
    </row>
    <row r="9193" spans="1:2" x14ac:dyDescent="0.35">
      <c r="A9193" s="32"/>
      <c r="B9193" s="32"/>
    </row>
    <row r="9194" spans="1:2" x14ac:dyDescent="0.35">
      <c r="A9194" s="32"/>
      <c r="B9194" s="32"/>
    </row>
    <row r="9195" spans="1:2" x14ac:dyDescent="0.35">
      <c r="A9195" s="32"/>
      <c r="B9195" s="32"/>
    </row>
    <row r="9196" spans="1:2" x14ac:dyDescent="0.35">
      <c r="A9196" s="32"/>
      <c r="B9196" s="32"/>
    </row>
    <row r="9197" spans="1:2" x14ac:dyDescent="0.35">
      <c r="A9197" s="32"/>
      <c r="B9197" s="32"/>
    </row>
    <row r="9198" spans="1:2" x14ac:dyDescent="0.35">
      <c r="A9198" s="32"/>
      <c r="B9198" s="32"/>
    </row>
    <row r="9199" spans="1:2" x14ac:dyDescent="0.35">
      <c r="A9199" s="32"/>
      <c r="B9199" s="32"/>
    </row>
    <row r="9200" spans="1:2" x14ac:dyDescent="0.35">
      <c r="A9200" s="32"/>
      <c r="B9200" s="32"/>
    </row>
    <row r="9201" spans="1:2" x14ac:dyDescent="0.35">
      <c r="A9201" s="32"/>
      <c r="B9201" s="32"/>
    </row>
    <row r="9202" spans="1:2" x14ac:dyDescent="0.35">
      <c r="A9202" s="32"/>
      <c r="B9202" s="32"/>
    </row>
    <row r="9203" spans="1:2" x14ac:dyDescent="0.35">
      <c r="A9203" s="32"/>
      <c r="B9203" s="32"/>
    </row>
    <row r="9204" spans="1:2" x14ac:dyDescent="0.35">
      <c r="A9204" s="32"/>
      <c r="B9204" s="32"/>
    </row>
    <row r="9205" spans="1:2" x14ac:dyDescent="0.35">
      <c r="A9205" s="32"/>
      <c r="B9205" s="32"/>
    </row>
    <row r="9206" spans="1:2" x14ac:dyDescent="0.35">
      <c r="A9206" s="32"/>
      <c r="B9206" s="32"/>
    </row>
    <row r="9207" spans="1:2" x14ac:dyDescent="0.35">
      <c r="A9207" s="32"/>
      <c r="B9207" s="32"/>
    </row>
    <row r="9208" spans="1:2" x14ac:dyDescent="0.35">
      <c r="A9208" s="32"/>
      <c r="B9208" s="32"/>
    </row>
    <row r="9209" spans="1:2" x14ac:dyDescent="0.35">
      <c r="A9209" s="32"/>
      <c r="B9209" s="32"/>
    </row>
    <row r="9210" spans="1:2" x14ac:dyDescent="0.35">
      <c r="A9210" s="32"/>
      <c r="B9210" s="32"/>
    </row>
    <row r="9211" spans="1:2" x14ac:dyDescent="0.35">
      <c r="A9211" s="32"/>
      <c r="B9211" s="32"/>
    </row>
    <row r="9212" spans="1:2" x14ac:dyDescent="0.35">
      <c r="A9212" s="32"/>
      <c r="B9212" s="32"/>
    </row>
    <row r="9213" spans="1:2" x14ac:dyDescent="0.35">
      <c r="A9213" s="32"/>
      <c r="B9213" s="32"/>
    </row>
    <row r="9214" spans="1:2" x14ac:dyDescent="0.35">
      <c r="A9214" s="32"/>
      <c r="B9214" s="32"/>
    </row>
    <row r="9215" spans="1:2" x14ac:dyDescent="0.35">
      <c r="A9215" s="32"/>
      <c r="B9215" s="32"/>
    </row>
    <row r="9216" spans="1:2" x14ac:dyDescent="0.35">
      <c r="A9216" s="32"/>
      <c r="B9216" s="32"/>
    </row>
    <row r="9217" spans="1:2" x14ac:dyDescent="0.35">
      <c r="A9217" s="32"/>
      <c r="B9217" s="32"/>
    </row>
    <row r="9218" spans="1:2" x14ac:dyDescent="0.35">
      <c r="A9218" s="32"/>
      <c r="B9218" s="32"/>
    </row>
    <row r="9219" spans="1:2" x14ac:dyDescent="0.35">
      <c r="A9219" s="32"/>
      <c r="B9219" s="32"/>
    </row>
    <row r="9220" spans="1:2" x14ac:dyDescent="0.35">
      <c r="A9220" s="32"/>
      <c r="B9220" s="32"/>
    </row>
    <row r="9221" spans="1:2" x14ac:dyDescent="0.35">
      <c r="A9221" s="32"/>
      <c r="B9221" s="32"/>
    </row>
    <row r="9222" spans="1:2" x14ac:dyDescent="0.35">
      <c r="A9222" s="32"/>
      <c r="B9222" s="32"/>
    </row>
    <row r="9223" spans="1:2" x14ac:dyDescent="0.35">
      <c r="A9223" s="32"/>
      <c r="B9223" s="32"/>
    </row>
    <row r="9224" spans="1:2" x14ac:dyDescent="0.35">
      <c r="A9224" s="32"/>
      <c r="B9224" s="32"/>
    </row>
    <row r="9225" spans="1:2" x14ac:dyDescent="0.35">
      <c r="A9225" s="32"/>
      <c r="B9225" s="32"/>
    </row>
    <row r="9226" spans="1:2" x14ac:dyDescent="0.35">
      <c r="A9226" s="32"/>
      <c r="B9226" s="32"/>
    </row>
    <row r="9227" spans="1:2" x14ac:dyDescent="0.35">
      <c r="A9227" s="32"/>
      <c r="B9227" s="32"/>
    </row>
    <row r="9228" spans="1:2" x14ac:dyDescent="0.35">
      <c r="A9228" s="32"/>
      <c r="B9228" s="32"/>
    </row>
    <row r="9229" spans="1:2" x14ac:dyDescent="0.35">
      <c r="A9229" s="32"/>
      <c r="B9229" s="32"/>
    </row>
    <row r="9230" spans="1:2" x14ac:dyDescent="0.35">
      <c r="A9230" s="32"/>
      <c r="B9230" s="32"/>
    </row>
    <row r="9231" spans="1:2" x14ac:dyDescent="0.35">
      <c r="A9231" s="32"/>
      <c r="B9231" s="32"/>
    </row>
    <row r="9232" spans="1:2" x14ac:dyDescent="0.35">
      <c r="A9232" s="32"/>
      <c r="B9232" s="32"/>
    </row>
    <row r="9233" spans="1:2" x14ac:dyDescent="0.35">
      <c r="A9233" s="32"/>
      <c r="B9233" s="32"/>
    </row>
    <row r="9234" spans="1:2" x14ac:dyDescent="0.35">
      <c r="A9234" s="32"/>
      <c r="B9234" s="32"/>
    </row>
    <row r="9235" spans="1:2" x14ac:dyDescent="0.35">
      <c r="A9235" s="32"/>
      <c r="B9235" s="32"/>
    </row>
    <row r="9236" spans="1:2" x14ac:dyDescent="0.35">
      <c r="A9236" s="32"/>
      <c r="B9236" s="32"/>
    </row>
    <row r="9237" spans="1:2" x14ac:dyDescent="0.35">
      <c r="A9237" s="32"/>
      <c r="B9237" s="32"/>
    </row>
    <row r="9238" spans="1:2" x14ac:dyDescent="0.35">
      <c r="A9238" s="32"/>
      <c r="B9238" s="32"/>
    </row>
    <row r="9239" spans="1:2" x14ac:dyDescent="0.35">
      <c r="A9239" s="32"/>
      <c r="B9239" s="32"/>
    </row>
    <row r="9240" spans="1:2" x14ac:dyDescent="0.35">
      <c r="A9240" s="32"/>
      <c r="B9240" s="32"/>
    </row>
    <row r="9241" spans="1:2" x14ac:dyDescent="0.35">
      <c r="A9241" s="32"/>
      <c r="B9241" s="32"/>
    </row>
    <row r="9242" spans="1:2" x14ac:dyDescent="0.35">
      <c r="A9242" s="32"/>
      <c r="B9242" s="32"/>
    </row>
    <row r="9243" spans="1:2" x14ac:dyDescent="0.35">
      <c r="A9243" s="32"/>
      <c r="B9243" s="32"/>
    </row>
    <row r="9244" spans="1:2" x14ac:dyDescent="0.35">
      <c r="A9244" s="32"/>
      <c r="B9244" s="32"/>
    </row>
    <row r="9245" spans="1:2" x14ac:dyDescent="0.35">
      <c r="A9245" s="32"/>
      <c r="B9245" s="32"/>
    </row>
    <row r="9246" spans="1:2" x14ac:dyDescent="0.35">
      <c r="A9246" s="32"/>
      <c r="B9246" s="32"/>
    </row>
    <row r="9247" spans="1:2" x14ac:dyDescent="0.35">
      <c r="A9247" s="32"/>
      <c r="B9247" s="32"/>
    </row>
    <row r="9248" spans="1:2" x14ac:dyDescent="0.35">
      <c r="A9248" s="32"/>
      <c r="B9248" s="32"/>
    </row>
    <row r="9249" spans="1:2" x14ac:dyDescent="0.35">
      <c r="A9249" s="32"/>
      <c r="B9249" s="32"/>
    </row>
    <row r="9250" spans="1:2" x14ac:dyDescent="0.35">
      <c r="A9250" s="32"/>
      <c r="B9250" s="32"/>
    </row>
    <row r="9251" spans="1:2" x14ac:dyDescent="0.35">
      <c r="A9251" s="32"/>
      <c r="B9251" s="32"/>
    </row>
    <row r="9252" spans="1:2" x14ac:dyDescent="0.35">
      <c r="A9252" s="32"/>
      <c r="B9252" s="32"/>
    </row>
    <row r="9253" spans="1:2" x14ac:dyDescent="0.35">
      <c r="A9253" s="32"/>
      <c r="B9253" s="32"/>
    </row>
    <row r="9254" spans="1:2" x14ac:dyDescent="0.35">
      <c r="A9254" s="32"/>
      <c r="B9254" s="32"/>
    </row>
    <row r="9255" spans="1:2" x14ac:dyDescent="0.35">
      <c r="A9255" s="32"/>
      <c r="B9255" s="32"/>
    </row>
    <row r="9256" spans="1:2" x14ac:dyDescent="0.35">
      <c r="A9256" s="32"/>
      <c r="B9256" s="32"/>
    </row>
    <row r="9257" spans="1:2" x14ac:dyDescent="0.35">
      <c r="A9257" s="32"/>
      <c r="B9257" s="32"/>
    </row>
    <row r="9258" spans="1:2" x14ac:dyDescent="0.35">
      <c r="A9258" s="32"/>
      <c r="B9258" s="32"/>
    </row>
    <row r="9259" spans="1:2" x14ac:dyDescent="0.35">
      <c r="A9259" s="32"/>
      <c r="B9259" s="32"/>
    </row>
    <row r="9260" spans="1:2" x14ac:dyDescent="0.35">
      <c r="A9260" s="32"/>
      <c r="B9260" s="32"/>
    </row>
    <row r="9261" spans="1:2" x14ac:dyDescent="0.35">
      <c r="A9261" s="32"/>
      <c r="B9261" s="32"/>
    </row>
    <row r="9262" spans="1:2" x14ac:dyDescent="0.35">
      <c r="A9262" s="32"/>
      <c r="B9262" s="32"/>
    </row>
    <row r="9263" spans="1:2" x14ac:dyDescent="0.35">
      <c r="A9263" s="32"/>
      <c r="B9263" s="32"/>
    </row>
    <row r="9264" spans="1:2" x14ac:dyDescent="0.35">
      <c r="A9264" s="32"/>
      <c r="B9264" s="32"/>
    </row>
    <row r="9265" spans="1:2" x14ac:dyDescent="0.35">
      <c r="A9265" s="32"/>
      <c r="B9265" s="32"/>
    </row>
    <row r="9266" spans="1:2" x14ac:dyDescent="0.35">
      <c r="A9266" s="32"/>
      <c r="B9266" s="32"/>
    </row>
    <row r="9267" spans="1:2" x14ac:dyDescent="0.35">
      <c r="A9267" s="32"/>
      <c r="B9267" s="32"/>
    </row>
    <row r="9268" spans="1:2" x14ac:dyDescent="0.35">
      <c r="A9268" s="32"/>
      <c r="B9268" s="32"/>
    </row>
    <row r="9269" spans="1:2" x14ac:dyDescent="0.35">
      <c r="A9269" s="32"/>
      <c r="B9269" s="32"/>
    </row>
    <row r="9270" spans="1:2" x14ac:dyDescent="0.35">
      <c r="A9270" s="32"/>
      <c r="B9270" s="32"/>
    </row>
    <row r="9271" spans="1:2" x14ac:dyDescent="0.35">
      <c r="A9271" s="32"/>
      <c r="B9271" s="32"/>
    </row>
    <row r="9272" spans="1:2" x14ac:dyDescent="0.35">
      <c r="A9272" s="32"/>
      <c r="B9272" s="32"/>
    </row>
    <row r="9273" spans="1:2" x14ac:dyDescent="0.35">
      <c r="A9273" s="32"/>
      <c r="B9273" s="32"/>
    </row>
    <row r="9274" spans="1:2" x14ac:dyDescent="0.35">
      <c r="A9274" s="32"/>
      <c r="B9274" s="32"/>
    </row>
    <row r="9275" spans="1:2" x14ac:dyDescent="0.35">
      <c r="A9275" s="32"/>
      <c r="B9275" s="32"/>
    </row>
    <row r="9276" spans="1:2" x14ac:dyDescent="0.35">
      <c r="A9276" s="32"/>
      <c r="B9276" s="32"/>
    </row>
    <row r="9277" spans="1:2" x14ac:dyDescent="0.35">
      <c r="A9277" s="32"/>
      <c r="B9277" s="32"/>
    </row>
    <row r="9278" spans="1:2" x14ac:dyDescent="0.35">
      <c r="A9278" s="32"/>
      <c r="B9278" s="32"/>
    </row>
    <row r="9279" spans="1:2" x14ac:dyDescent="0.35">
      <c r="A9279" s="32"/>
      <c r="B9279" s="32"/>
    </row>
    <row r="9280" spans="1:2" x14ac:dyDescent="0.35">
      <c r="A9280" s="32"/>
      <c r="B9280" s="32"/>
    </row>
    <row r="9281" spans="1:2" x14ac:dyDescent="0.35">
      <c r="A9281" s="32"/>
      <c r="B9281" s="32"/>
    </row>
    <row r="9282" spans="1:2" x14ac:dyDescent="0.35">
      <c r="A9282" s="32"/>
      <c r="B9282" s="32"/>
    </row>
    <row r="9283" spans="1:2" x14ac:dyDescent="0.35">
      <c r="A9283" s="32"/>
      <c r="B9283" s="32"/>
    </row>
    <row r="9284" spans="1:2" x14ac:dyDescent="0.35">
      <c r="A9284" s="32"/>
      <c r="B9284" s="32"/>
    </row>
    <row r="9285" spans="1:2" x14ac:dyDescent="0.35">
      <c r="A9285" s="32"/>
      <c r="B9285" s="32"/>
    </row>
    <row r="9286" spans="1:2" x14ac:dyDescent="0.35">
      <c r="A9286" s="32"/>
      <c r="B9286" s="32"/>
    </row>
    <row r="9287" spans="1:2" x14ac:dyDescent="0.35">
      <c r="A9287" s="32"/>
      <c r="B9287" s="32"/>
    </row>
    <row r="9288" spans="1:2" x14ac:dyDescent="0.35">
      <c r="A9288" s="32"/>
      <c r="B9288" s="32"/>
    </row>
    <row r="9289" spans="1:2" x14ac:dyDescent="0.35">
      <c r="A9289" s="32"/>
      <c r="B9289" s="32"/>
    </row>
    <row r="9290" spans="1:2" x14ac:dyDescent="0.35">
      <c r="A9290" s="32"/>
      <c r="B9290" s="32"/>
    </row>
    <row r="9291" spans="1:2" x14ac:dyDescent="0.35">
      <c r="A9291" s="32"/>
      <c r="B9291" s="32"/>
    </row>
    <row r="9292" spans="1:2" x14ac:dyDescent="0.35">
      <c r="A9292" s="32"/>
      <c r="B9292" s="32"/>
    </row>
    <row r="9293" spans="1:2" x14ac:dyDescent="0.35">
      <c r="A9293" s="32"/>
      <c r="B9293" s="32"/>
    </row>
    <row r="9294" spans="1:2" x14ac:dyDescent="0.35">
      <c r="A9294" s="32"/>
      <c r="B9294" s="32"/>
    </row>
    <row r="9295" spans="1:2" x14ac:dyDescent="0.35">
      <c r="A9295" s="32"/>
      <c r="B9295" s="32"/>
    </row>
    <row r="9296" spans="1:2" x14ac:dyDescent="0.35">
      <c r="A9296" s="32"/>
      <c r="B9296" s="32"/>
    </row>
    <row r="9297" spans="1:2" x14ac:dyDescent="0.35">
      <c r="A9297" s="32"/>
      <c r="B9297" s="32"/>
    </row>
    <row r="9298" spans="1:2" x14ac:dyDescent="0.35">
      <c r="A9298" s="32"/>
      <c r="B9298" s="32"/>
    </row>
    <row r="9299" spans="1:2" x14ac:dyDescent="0.35">
      <c r="A9299" s="32"/>
      <c r="B9299" s="32"/>
    </row>
    <row r="9300" spans="1:2" x14ac:dyDescent="0.35">
      <c r="A9300" s="32"/>
      <c r="B9300" s="32"/>
    </row>
    <row r="9301" spans="1:2" x14ac:dyDescent="0.35">
      <c r="A9301" s="32"/>
      <c r="B9301" s="32"/>
    </row>
    <row r="9302" spans="1:2" x14ac:dyDescent="0.35">
      <c r="A9302" s="32"/>
      <c r="B9302" s="32"/>
    </row>
    <row r="9303" spans="1:2" x14ac:dyDescent="0.35">
      <c r="A9303" s="32"/>
      <c r="B9303" s="32"/>
    </row>
    <row r="9304" spans="1:2" x14ac:dyDescent="0.35">
      <c r="A9304" s="32"/>
      <c r="B9304" s="32"/>
    </row>
    <row r="9305" spans="1:2" x14ac:dyDescent="0.35">
      <c r="A9305" s="32"/>
      <c r="B9305" s="32"/>
    </row>
    <row r="9306" spans="1:2" x14ac:dyDescent="0.35">
      <c r="A9306" s="32"/>
      <c r="B9306" s="32"/>
    </row>
    <row r="9307" spans="1:2" x14ac:dyDescent="0.35">
      <c r="A9307" s="32"/>
      <c r="B9307" s="32"/>
    </row>
    <row r="9308" spans="1:2" x14ac:dyDescent="0.35">
      <c r="A9308" s="32"/>
      <c r="B9308" s="32"/>
    </row>
    <row r="9309" spans="1:2" x14ac:dyDescent="0.35">
      <c r="A9309" s="32"/>
      <c r="B9309" s="32"/>
    </row>
    <row r="9310" spans="1:2" x14ac:dyDescent="0.35">
      <c r="A9310" s="32"/>
      <c r="B9310" s="32"/>
    </row>
    <row r="9311" spans="1:2" x14ac:dyDescent="0.35">
      <c r="A9311" s="32"/>
      <c r="B9311" s="32"/>
    </row>
    <row r="9312" spans="1:2" x14ac:dyDescent="0.35">
      <c r="A9312" s="32"/>
      <c r="B9312" s="32"/>
    </row>
    <row r="9313" spans="1:2" x14ac:dyDescent="0.35">
      <c r="A9313" s="32"/>
      <c r="B9313" s="32"/>
    </row>
    <row r="9314" spans="1:2" x14ac:dyDescent="0.35">
      <c r="A9314" s="32"/>
      <c r="B9314" s="32"/>
    </row>
    <row r="9315" spans="1:2" x14ac:dyDescent="0.35">
      <c r="A9315" s="32"/>
      <c r="B9315" s="32"/>
    </row>
    <row r="9316" spans="1:2" x14ac:dyDescent="0.35">
      <c r="A9316" s="32"/>
      <c r="B9316" s="32"/>
    </row>
    <row r="9317" spans="1:2" x14ac:dyDescent="0.35">
      <c r="A9317" s="32"/>
      <c r="B9317" s="32"/>
    </row>
    <row r="9318" spans="1:2" x14ac:dyDescent="0.35">
      <c r="A9318" s="32"/>
      <c r="B9318" s="32"/>
    </row>
    <row r="9319" spans="1:2" x14ac:dyDescent="0.35">
      <c r="A9319" s="32"/>
      <c r="B9319" s="32"/>
    </row>
    <row r="9320" spans="1:2" x14ac:dyDescent="0.35">
      <c r="A9320" s="32"/>
      <c r="B9320" s="32"/>
    </row>
    <row r="9321" spans="1:2" x14ac:dyDescent="0.35">
      <c r="A9321" s="32"/>
      <c r="B9321" s="32"/>
    </row>
    <row r="9322" spans="1:2" x14ac:dyDescent="0.35">
      <c r="A9322" s="32"/>
      <c r="B9322" s="32"/>
    </row>
    <row r="9323" spans="1:2" x14ac:dyDescent="0.35">
      <c r="A9323" s="32"/>
      <c r="B9323" s="32"/>
    </row>
    <row r="9324" spans="1:2" x14ac:dyDescent="0.35">
      <c r="A9324" s="32"/>
      <c r="B9324" s="32"/>
    </row>
    <row r="9325" spans="1:2" x14ac:dyDescent="0.35">
      <c r="A9325" s="32"/>
      <c r="B9325" s="32"/>
    </row>
    <row r="9326" spans="1:2" x14ac:dyDescent="0.35">
      <c r="A9326" s="32"/>
      <c r="B9326" s="32"/>
    </row>
    <row r="9327" spans="1:2" x14ac:dyDescent="0.35">
      <c r="A9327" s="32"/>
      <c r="B9327" s="32"/>
    </row>
    <row r="9328" spans="1:2" x14ac:dyDescent="0.35">
      <c r="A9328" s="32"/>
      <c r="B9328" s="32"/>
    </row>
    <row r="9329" spans="1:2" x14ac:dyDescent="0.35">
      <c r="A9329" s="32"/>
      <c r="B9329" s="32"/>
    </row>
    <row r="9330" spans="1:2" x14ac:dyDescent="0.35">
      <c r="A9330" s="32"/>
      <c r="B9330" s="32"/>
    </row>
    <row r="9331" spans="1:2" x14ac:dyDescent="0.35">
      <c r="A9331" s="32"/>
      <c r="B9331" s="32"/>
    </row>
    <row r="9332" spans="1:2" x14ac:dyDescent="0.35">
      <c r="A9332" s="32"/>
      <c r="B9332" s="32"/>
    </row>
    <row r="9333" spans="1:2" x14ac:dyDescent="0.35">
      <c r="A9333" s="32"/>
      <c r="B9333" s="32"/>
    </row>
    <row r="9334" spans="1:2" x14ac:dyDescent="0.35">
      <c r="A9334" s="32"/>
      <c r="B9334" s="32"/>
    </row>
    <row r="9335" spans="1:2" x14ac:dyDescent="0.35">
      <c r="A9335" s="32"/>
      <c r="B9335" s="32"/>
    </row>
    <row r="9336" spans="1:2" x14ac:dyDescent="0.35">
      <c r="A9336" s="32"/>
      <c r="B9336" s="32"/>
    </row>
    <row r="9337" spans="1:2" x14ac:dyDescent="0.35">
      <c r="A9337" s="32"/>
      <c r="B9337" s="32"/>
    </row>
    <row r="9338" spans="1:2" x14ac:dyDescent="0.35">
      <c r="A9338" s="32"/>
      <c r="B9338" s="32"/>
    </row>
    <row r="9339" spans="1:2" x14ac:dyDescent="0.35">
      <c r="A9339" s="32"/>
      <c r="B9339" s="32"/>
    </row>
    <row r="9340" spans="1:2" x14ac:dyDescent="0.35">
      <c r="A9340" s="32"/>
      <c r="B9340" s="32"/>
    </row>
    <row r="9341" spans="1:2" x14ac:dyDescent="0.35">
      <c r="A9341" s="32"/>
      <c r="B9341" s="32"/>
    </row>
    <row r="9342" spans="1:2" x14ac:dyDescent="0.35">
      <c r="A9342" s="32"/>
      <c r="B9342" s="32"/>
    </row>
    <row r="9343" spans="1:2" x14ac:dyDescent="0.35">
      <c r="A9343" s="32"/>
      <c r="B9343" s="32"/>
    </row>
    <row r="9344" spans="1:2" x14ac:dyDescent="0.35">
      <c r="A9344" s="32"/>
      <c r="B9344" s="32"/>
    </row>
    <row r="9345" spans="1:2" x14ac:dyDescent="0.35">
      <c r="A9345" s="32"/>
      <c r="B9345" s="32"/>
    </row>
    <row r="9346" spans="1:2" x14ac:dyDescent="0.35">
      <c r="A9346" s="32"/>
      <c r="B9346" s="32"/>
    </row>
    <row r="9347" spans="1:2" x14ac:dyDescent="0.35">
      <c r="A9347" s="32"/>
      <c r="B9347" s="32"/>
    </row>
    <row r="9348" spans="1:2" x14ac:dyDescent="0.35">
      <c r="A9348" s="32"/>
      <c r="B9348" s="32"/>
    </row>
    <row r="9349" spans="1:2" x14ac:dyDescent="0.35">
      <c r="A9349" s="32"/>
      <c r="B9349" s="32"/>
    </row>
    <row r="9350" spans="1:2" x14ac:dyDescent="0.35">
      <c r="A9350" s="32"/>
      <c r="B9350" s="32"/>
    </row>
    <row r="9351" spans="1:2" x14ac:dyDescent="0.35">
      <c r="A9351" s="32"/>
      <c r="B9351" s="32"/>
    </row>
    <row r="9352" spans="1:2" x14ac:dyDescent="0.35">
      <c r="A9352" s="32"/>
      <c r="B9352" s="32"/>
    </row>
    <row r="9353" spans="1:2" x14ac:dyDescent="0.35">
      <c r="A9353" s="32"/>
      <c r="B9353" s="32"/>
    </row>
    <row r="9354" spans="1:2" x14ac:dyDescent="0.35">
      <c r="A9354" s="32"/>
      <c r="B9354" s="32"/>
    </row>
    <row r="9355" spans="1:2" x14ac:dyDescent="0.35">
      <c r="A9355" s="32"/>
      <c r="B9355" s="32"/>
    </row>
    <row r="9356" spans="1:2" x14ac:dyDescent="0.35">
      <c r="A9356" s="32"/>
      <c r="B9356" s="32"/>
    </row>
    <row r="9357" spans="1:2" x14ac:dyDescent="0.35">
      <c r="A9357" s="32"/>
      <c r="B9357" s="32"/>
    </row>
    <row r="9358" spans="1:2" x14ac:dyDescent="0.35">
      <c r="A9358" s="32"/>
      <c r="B9358" s="32"/>
    </row>
    <row r="9359" spans="1:2" x14ac:dyDescent="0.35">
      <c r="A9359" s="32"/>
      <c r="B9359" s="32"/>
    </row>
    <row r="9360" spans="1:2" x14ac:dyDescent="0.35">
      <c r="A9360" s="32"/>
      <c r="B9360" s="32"/>
    </row>
    <row r="9361" spans="1:2" x14ac:dyDescent="0.35">
      <c r="A9361" s="32"/>
      <c r="B9361" s="32"/>
    </row>
    <row r="9362" spans="1:2" x14ac:dyDescent="0.35">
      <c r="A9362" s="32"/>
      <c r="B9362" s="32"/>
    </row>
    <row r="9363" spans="1:2" x14ac:dyDescent="0.35">
      <c r="A9363" s="32"/>
      <c r="B9363" s="32"/>
    </row>
    <row r="9364" spans="1:2" x14ac:dyDescent="0.35">
      <c r="A9364" s="32"/>
      <c r="B9364" s="32"/>
    </row>
    <row r="9365" spans="1:2" x14ac:dyDescent="0.35">
      <c r="A9365" s="32"/>
      <c r="B9365" s="32"/>
    </row>
    <row r="9366" spans="1:2" x14ac:dyDescent="0.35">
      <c r="A9366" s="32"/>
      <c r="B9366" s="32"/>
    </row>
    <row r="9367" spans="1:2" x14ac:dyDescent="0.35">
      <c r="A9367" s="32"/>
      <c r="B9367" s="32"/>
    </row>
    <row r="9368" spans="1:2" x14ac:dyDescent="0.35">
      <c r="A9368" s="32"/>
      <c r="B9368" s="32"/>
    </row>
    <row r="9369" spans="1:2" x14ac:dyDescent="0.35">
      <c r="A9369" s="32"/>
      <c r="B9369" s="32"/>
    </row>
    <row r="9370" spans="1:2" x14ac:dyDescent="0.35">
      <c r="A9370" s="32"/>
      <c r="B9370" s="32"/>
    </row>
    <row r="9371" spans="1:2" x14ac:dyDescent="0.35">
      <c r="A9371" s="32"/>
      <c r="B9371" s="32"/>
    </row>
    <row r="9372" spans="1:2" x14ac:dyDescent="0.35">
      <c r="A9372" s="32"/>
      <c r="B9372" s="32"/>
    </row>
    <row r="9373" spans="1:2" x14ac:dyDescent="0.35">
      <c r="A9373" s="32"/>
      <c r="B9373" s="32"/>
    </row>
    <row r="9374" spans="1:2" x14ac:dyDescent="0.35">
      <c r="A9374" s="32"/>
      <c r="B9374" s="32"/>
    </row>
    <row r="9375" spans="1:2" x14ac:dyDescent="0.35">
      <c r="A9375" s="32"/>
      <c r="B9375" s="32"/>
    </row>
    <row r="9376" spans="1:2" x14ac:dyDescent="0.35">
      <c r="A9376" s="32"/>
      <c r="B9376" s="32"/>
    </row>
    <row r="9377" spans="1:2" x14ac:dyDescent="0.35">
      <c r="A9377" s="32"/>
      <c r="B9377" s="32"/>
    </row>
    <row r="9378" spans="1:2" x14ac:dyDescent="0.35">
      <c r="A9378" s="32"/>
      <c r="B9378" s="32"/>
    </row>
    <row r="9379" spans="1:2" x14ac:dyDescent="0.35">
      <c r="A9379" s="32"/>
      <c r="B9379" s="32"/>
    </row>
    <row r="9380" spans="1:2" x14ac:dyDescent="0.35">
      <c r="A9380" s="32"/>
      <c r="B9380" s="32"/>
    </row>
    <row r="9381" spans="1:2" x14ac:dyDescent="0.35">
      <c r="A9381" s="32"/>
      <c r="B9381" s="32"/>
    </row>
    <row r="9382" spans="1:2" x14ac:dyDescent="0.35">
      <c r="A9382" s="32"/>
      <c r="B9382" s="32"/>
    </row>
    <row r="9383" spans="1:2" x14ac:dyDescent="0.35">
      <c r="A9383" s="32"/>
      <c r="B9383" s="32"/>
    </row>
    <row r="9384" spans="1:2" x14ac:dyDescent="0.35">
      <c r="A9384" s="32"/>
      <c r="B9384" s="32"/>
    </row>
    <row r="9385" spans="1:2" x14ac:dyDescent="0.35">
      <c r="A9385" s="32"/>
      <c r="B9385" s="32"/>
    </row>
    <row r="9386" spans="1:2" x14ac:dyDescent="0.35">
      <c r="A9386" s="32"/>
      <c r="B9386" s="32"/>
    </row>
    <row r="9387" spans="1:2" x14ac:dyDescent="0.35">
      <c r="A9387" s="32"/>
      <c r="B9387" s="32"/>
    </row>
    <row r="9388" spans="1:2" x14ac:dyDescent="0.35">
      <c r="A9388" s="32"/>
      <c r="B9388" s="32"/>
    </row>
    <row r="9389" spans="1:2" x14ac:dyDescent="0.35">
      <c r="A9389" s="32"/>
      <c r="B9389" s="32"/>
    </row>
    <row r="9390" spans="1:2" x14ac:dyDescent="0.35">
      <c r="A9390" s="32"/>
      <c r="B9390" s="32"/>
    </row>
    <row r="9391" spans="1:2" x14ac:dyDescent="0.35">
      <c r="A9391" s="32"/>
      <c r="B9391" s="32"/>
    </row>
    <row r="9392" spans="1:2" x14ac:dyDescent="0.35">
      <c r="A9392" s="32"/>
      <c r="B9392" s="32"/>
    </row>
    <row r="9393" spans="1:2" x14ac:dyDescent="0.35">
      <c r="A9393" s="32"/>
      <c r="B9393" s="32"/>
    </row>
    <row r="9394" spans="1:2" x14ac:dyDescent="0.35">
      <c r="A9394" s="32"/>
      <c r="B9394" s="32"/>
    </row>
    <row r="9395" spans="1:2" x14ac:dyDescent="0.35">
      <c r="A9395" s="32"/>
      <c r="B9395" s="32"/>
    </row>
    <row r="9396" spans="1:2" x14ac:dyDescent="0.35">
      <c r="A9396" s="32"/>
      <c r="B9396" s="32"/>
    </row>
    <row r="9397" spans="1:2" x14ac:dyDescent="0.35">
      <c r="A9397" s="32"/>
      <c r="B9397" s="32"/>
    </row>
    <row r="9398" spans="1:2" x14ac:dyDescent="0.35">
      <c r="A9398" s="32"/>
      <c r="B9398" s="32"/>
    </row>
    <row r="9399" spans="1:2" x14ac:dyDescent="0.35">
      <c r="A9399" s="32"/>
      <c r="B9399" s="32"/>
    </row>
    <row r="9400" spans="1:2" x14ac:dyDescent="0.35">
      <c r="A9400" s="32"/>
      <c r="B9400" s="32"/>
    </row>
    <row r="9401" spans="1:2" x14ac:dyDescent="0.35">
      <c r="A9401" s="32"/>
      <c r="B9401" s="32"/>
    </row>
    <row r="9402" spans="1:2" x14ac:dyDescent="0.35">
      <c r="A9402" s="32"/>
      <c r="B9402" s="32"/>
    </row>
    <row r="9403" spans="1:2" x14ac:dyDescent="0.35">
      <c r="A9403" s="32"/>
      <c r="B9403" s="32"/>
    </row>
    <row r="9404" spans="1:2" x14ac:dyDescent="0.35">
      <c r="A9404" s="32"/>
      <c r="B9404" s="32"/>
    </row>
    <row r="9405" spans="1:2" x14ac:dyDescent="0.35">
      <c r="A9405" s="32"/>
      <c r="B9405" s="32"/>
    </row>
    <row r="9406" spans="1:2" x14ac:dyDescent="0.35">
      <c r="A9406" s="32"/>
      <c r="B9406" s="32"/>
    </row>
    <row r="9407" spans="1:2" x14ac:dyDescent="0.35">
      <c r="A9407" s="32"/>
      <c r="B9407" s="32"/>
    </row>
    <row r="9408" spans="1:2" x14ac:dyDescent="0.35">
      <c r="A9408" s="32"/>
      <c r="B9408" s="32"/>
    </row>
    <row r="9409" spans="1:2" x14ac:dyDescent="0.35">
      <c r="A9409" s="32"/>
      <c r="B9409" s="32"/>
    </row>
    <row r="9410" spans="1:2" x14ac:dyDescent="0.35">
      <c r="A9410" s="32"/>
      <c r="B9410" s="32"/>
    </row>
    <row r="9411" spans="1:2" x14ac:dyDescent="0.35">
      <c r="A9411" s="32"/>
      <c r="B9411" s="32"/>
    </row>
    <row r="9412" spans="1:2" x14ac:dyDescent="0.35">
      <c r="A9412" s="32"/>
      <c r="B9412" s="32"/>
    </row>
    <row r="9413" spans="1:2" x14ac:dyDescent="0.35">
      <c r="A9413" s="32"/>
      <c r="B9413" s="32"/>
    </row>
    <row r="9414" spans="1:2" x14ac:dyDescent="0.35">
      <c r="A9414" s="32"/>
      <c r="B9414" s="32"/>
    </row>
    <row r="9415" spans="1:2" x14ac:dyDescent="0.35">
      <c r="A9415" s="32"/>
      <c r="B9415" s="32"/>
    </row>
    <row r="9416" spans="1:2" x14ac:dyDescent="0.35">
      <c r="A9416" s="32"/>
      <c r="B9416" s="32"/>
    </row>
    <row r="9417" spans="1:2" x14ac:dyDescent="0.35">
      <c r="A9417" s="32"/>
      <c r="B9417" s="32"/>
    </row>
    <row r="9418" spans="1:2" x14ac:dyDescent="0.35">
      <c r="A9418" s="32"/>
      <c r="B9418" s="32"/>
    </row>
    <row r="9419" spans="1:2" x14ac:dyDescent="0.35">
      <c r="A9419" s="32"/>
      <c r="B9419" s="32"/>
    </row>
    <row r="9420" spans="1:2" x14ac:dyDescent="0.35">
      <c r="A9420" s="32"/>
      <c r="B9420" s="32"/>
    </row>
    <row r="9421" spans="1:2" x14ac:dyDescent="0.35">
      <c r="A9421" s="32"/>
      <c r="B9421" s="32"/>
    </row>
    <row r="9422" spans="1:2" x14ac:dyDescent="0.35">
      <c r="A9422" s="32"/>
      <c r="B9422" s="32"/>
    </row>
    <row r="9423" spans="1:2" x14ac:dyDescent="0.35">
      <c r="A9423" s="32"/>
      <c r="B9423" s="32"/>
    </row>
    <row r="9424" spans="1:2" x14ac:dyDescent="0.35">
      <c r="A9424" s="32"/>
      <c r="B9424" s="32"/>
    </row>
    <row r="9425" spans="1:2" x14ac:dyDescent="0.35">
      <c r="A9425" s="32"/>
      <c r="B9425" s="32"/>
    </row>
    <row r="9426" spans="1:2" x14ac:dyDescent="0.35">
      <c r="A9426" s="32"/>
      <c r="B9426" s="32"/>
    </row>
    <row r="9427" spans="1:2" x14ac:dyDescent="0.35">
      <c r="A9427" s="32"/>
      <c r="B9427" s="32"/>
    </row>
    <row r="9428" spans="1:2" x14ac:dyDescent="0.35">
      <c r="A9428" s="32"/>
      <c r="B9428" s="32"/>
    </row>
    <row r="9429" spans="1:2" x14ac:dyDescent="0.35">
      <c r="A9429" s="32"/>
      <c r="B9429" s="32"/>
    </row>
    <row r="9430" spans="1:2" x14ac:dyDescent="0.35">
      <c r="A9430" s="32"/>
      <c r="B9430" s="32"/>
    </row>
    <row r="9431" spans="1:2" x14ac:dyDescent="0.35">
      <c r="A9431" s="32"/>
      <c r="B9431" s="32"/>
    </row>
    <row r="9432" spans="1:2" x14ac:dyDescent="0.35">
      <c r="A9432" s="32"/>
      <c r="B9432" s="32"/>
    </row>
    <row r="9433" spans="1:2" x14ac:dyDescent="0.35">
      <c r="A9433" s="32"/>
      <c r="B9433" s="32"/>
    </row>
    <row r="9434" spans="1:2" x14ac:dyDescent="0.35">
      <c r="A9434" s="32"/>
      <c r="B9434" s="32"/>
    </row>
    <row r="9435" spans="1:2" x14ac:dyDescent="0.35">
      <c r="A9435" s="32"/>
      <c r="B9435" s="32"/>
    </row>
    <row r="9436" spans="1:2" x14ac:dyDescent="0.35">
      <c r="A9436" s="32"/>
      <c r="B9436" s="32"/>
    </row>
    <row r="9437" spans="1:2" x14ac:dyDescent="0.35">
      <c r="A9437" s="32"/>
      <c r="B9437" s="32"/>
    </row>
    <row r="9438" spans="1:2" x14ac:dyDescent="0.35">
      <c r="A9438" s="32"/>
      <c r="B9438" s="32"/>
    </row>
    <row r="9439" spans="1:2" x14ac:dyDescent="0.35">
      <c r="A9439" s="32"/>
      <c r="B9439" s="32"/>
    </row>
    <row r="9440" spans="1:2" x14ac:dyDescent="0.35">
      <c r="A9440" s="32"/>
      <c r="B9440" s="32"/>
    </row>
    <row r="9441" spans="1:2" x14ac:dyDescent="0.35">
      <c r="A9441" s="32"/>
      <c r="B9441" s="32"/>
    </row>
    <row r="9442" spans="1:2" x14ac:dyDescent="0.35">
      <c r="A9442" s="32"/>
      <c r="B9442" s="32"/>
    </row>
    <row r="9443" spans="1:2" x14ac:dyDescent="0.35">
      <c r="A9443" s="32"/>
      <c r="B9443" s="32"/>
    </row>
    <row r="9444" spans="1:2" x14ac:dyDescent="0.35">
      <c r="A9444" s="32"/>
      <c r="B9444" s="32"/>
    </row>
    <row r="9445" spans="1:2" x14ac:dyDescent="0.35">
      <c r="A9445" s="32"/>
      <c r="B9445" s="32"/>
    </row>
    <row r="9446" spans="1:2" x14ac:dyDescent="0.35">
      <c r="A9446" s="32"/>
      <c r="B9446" s="32"/>
    </row>
    <row r="9447" spans="1:2" x14ac:dyDescent="0.35">
      <c r="A9447" s="32"/>
      <c r="B9447" s="32"/>
    </row>
    <row r="9448" spans="1:2" x14ac:dyDescent="0.35">
      <c r="A9448" s="32"/>
      <c r="B9448" s="32"/>
    </row>
    <row r="9449" spans="1:2" x14ac:dyDescent="0.35">
      <c r="A9449" s="32"/>
      <c r="B9449" s="32"/>
    </row>
    <row r="9450" spans="1:2" x14ac:dyDescent="0.35">
      <c r="A9450" s="32"/>
      <c r="B9450" s="32"/>
    </row>
    <row r="9451" spans="1:2" x14ac:dyDescent="0.35">
      <c r="A9451" s="32"/>
      <c r="B9451" s="32"/>
    </row>
    <row r="9452" spans="1:2" x14ac:dyDescent="0.35">
      <c r="A9452" s="32"/>
      <c r="B9452" s="32"/>
    </row>
    <row r="9453" spans="1:2" x14ac:dyDescent="0.35">
      <c r="A9453" s="32"/>
      <c r="B9453" s="32"/>
    </row>
    <row r="9454" spans="1:2" x14ac:dyDescent="0.35">
      <c r="A9454" s="32"/>
      <c r="B9454" s="32"/>
    </row>
    <row r="9455" spans="1:2" x14ac:dyDescent="0.35">
      <c r="A9455" s="32"/>
      <c r="B9455" s="32"/>
    </row>
    <row r="9456" spans="1:2" x14ac:dyDescent="0.35">
      <c r="A9456" s="32"/>
      <c r="B9456" s="32"/>
    </row>
    <row r="9457" spans="1:2" x14ac:dyDescent="0.35">
      <c r="A9457" s="32"/>
      <c r="B9457" s="32"/>
    </row>
    <row r="9458" spans="1:2" x14ac:dyDescent="0.35">
      <c r="A9458" s="32"/>
      <c r="B9458" s="32"/>
    </row>
    <row r="9459" spans="1:2" x14ac:dyDescent="0.35">
      <c r="A9459" s="32"/>
      <c r="B9459" s="32"/>
    </row>
    <row r="9460" spans="1:2" x14ac:dyDescent="0.35">
      <c r="A9460" s="32"/>
      <c r="B9460" s="32"/>
    </row>
    <row r="9461" spans="1:2" x14ac:dyDescent="0.35">
      <c r="A9461" s="32"/>
      <c r="B9461" s="32"/>
    </row>
    <row r="9462" spans="1:2" x14ac:dyDescent="0.35">
      <c r="A9462" s="32"/>
      <c r="B9462" s="32"/>
    </row>
    <row r="9463" spans="1:2" x14ac:dyDescent="0.35">
      <c r="A9463" s="32"/>
      <c r="B9463" s="32"/>
    </row>
    <row r="9464" spans="1:2" x14ac:dyDescent="0.35">
      <c r="A9464" s="32"/>
      <c r="B9464" s="32"/>
    </row>
    <row r="9465" spans="1:2" x14ac:dyDescent="0.35">
      <c r="A9465" s="32"/>
      <c r="B9465" s="32"/>
    </row>
    <row r="9466" spans="1:2" x14ac:dyDescent="0.35">
      <c r="A9466" s="32"/>
      <c r="B9466" s="32"/>
    </row>
    <row r="9467" spans="1:2" x14ac:dyDescent="0.35">
      <c r="A9467" s="32"/>
      <c r="B9467" s="32"/>
    </row>
    <row r="9468" spans="1:2" x14ac:dyDescent="0.35">
      <c r="A9468" s="32"/>
      <c r="B9468" s="32"/>
    </row>
    <row r="9469" spans="1:2" x14ac:dyDescent="0.35">
      <c r="A9469" s="32"/>
      <c r="B9469" s="32"/>
    </row>
    <row r="9470" spans="1:2" x14ac:dyDescent="0.35">
      <c r="A9470" s="32"/>
      <c r="B9470" s="32"/>
    </row>
    <row r="9471" spans="1:2" x14ac:dyDescent="0.35">
      <c r="A9471" s="32"/>
      <c r="B9471" s="32"/>
    </row>
    <row r="9472" spans="1:2" x14ac:dyDescent="0.35">
      <c r="A9472" s="32"/>
      <c r="B9472" s="32"/>
    </row>
    <row r="9473" spans="1:2" x14ac:dyDescent="0.35">
      <c r="A9473" s="32"/>
      <c r="B9473" s="32"/>
    </row>
    <row r="9474" spans="1:2" x14ac:dyDescent="0.35">
      <c r="A9474" s="32"/>
      <c r="B9474" s="32"/>
    </row>
    <row r="9475" spans="1:2" x14ac:dyDescent="0.35">
      <c r="A9475" s="32"/>
      <c r="B9475" s="32"/>
    </row>
    <row r="9476" spans="1:2" x14ac:dyDescent="0.35">
      <c r="A9476" s="32"/>
      <c r="B9476" s="32"/>
    </row>
    <row r="9477" spans="1:2" x14ac:dyDescent="0.35">
      <c r="A9477" s="32"/>
      <c r="B9477" s="32"/>
    </row>
    <row r="9478" spans="1:2" x14ac:dyDescent="0.35">
      <c r="A9478" s="32"/>
      <c r="B9478" s="32"/>
    </row>
    <row r="9479" spans="1:2" x14ac:dyDescent="0.35">
      <c r="A9479" s="32"/>
      <c r="B9479" s="32"/>
    </row>
    <row r="9480" spans="1:2" x14ac:dyDescent="0.35">
      <c r="A9480" s="32"/>
      <c r="B9480" s="32"/>
    </row>
    <row r="9481" spans="1:2" x14ac:dyDescent="0.35">
      <c r="A9481" s="32"/>
      <c r="B9481" s="32"/>
    </row>
    <row r="9482" spans="1:2" x14ac:dyDescent="0.35">
      <c r="A9482" s="32"/>
      <c r="B9482" s="32"/>
    </row>
    <row r="9483" spans="1:2" x14ac:dyDescent="0.35">
      <c r="A9483" s="32"/>
      <c r="B9483" s="32"/>
    </row>
    <row r="9484" spans="1:2" x14ac:dyDescent="0.35">
      <c r="A9484" s="32"/>
      <c r="B9484" s="32"/>
    </row>
    <row r="9485" spans="1:2" x14ac:dyDescent="0.35">
      <c r="A9485" s="32"/>
      <c r="B9485" s="32"/>
    </row>
    <row r="9486" spans="1:2" x14ac:dyDescent="0.35">
      <c r="A9486" s="32"/>
      <c r="B9486" s="32"/>
    </row>
    <row r="9487" spans="1:2" x14ac:dyDescent="0.35">
      <c r="A9487" s="32"/>
      <c r="B9487" s="32"/>
    </row>
    <row r="9488" spans="1:2" x14ac:dyDescent="0.35">
      <c r="A9488" s="32"/>
      <c r="B9488" s="32"/>
    </row>
    <row r="9489" spans="1:2" x14ac:dyDescent="0.35">
      <c r="A9489" s="32"/>
      <c r="B9489" s="32"/>
    </row>
    <row r="9490" spans="1:2" x14ac:dyDescent="0.35">
      <c r="A9490" s="32"/>
      <c r="B9490" s="32"/>
    </row>
    <row r="9491" spans="1:2" x14ac:dyDescent="0.35">
      <c r="A9491" s="32"/>
      <c r="B9491" s="32"/>
    </row>
    <row r="9492" spans="1:2" x14ac:dyDescent="0.35">
      <c r="A9492" s="32"/>
      <c r="B9492" s="32"/>
    </row>
    <row r="9493" spans="1:2" x14ac:dyDescent="0.35">
      <c r="A9493" s="32"/>
      <c r="B9493" s="32"/>
    </row>
    <row r="9494" spans="1:2" x14ac:dyDescent="0.35">
      <c r="A9494" s="32"/>
      <c r="B9494" s="32"/>
    </row>
    <row r="9495" spans="1:2" x14ac:dyDescent="0.35">
      <c r="A9495" s="32"/>
      <c r="B9495" s="32"/>
    </row>
    <row r="9496" spans="1:2" x14ac:dyDescent="0.35">
      <c r="A9496" s="32"/>
      <c r="B9496" s="32"/>
    </row>
    <row r="9497" spans="1:2" x14ac:dyDescent="0.35">
      <c r="A9497" s="32"/>
      <c r="B9497" s="32"/>
    </row>
    <row r="9498" spans="1:2" x14ac:dyDescent="0.35">
      <c r="A9498" s="32"/>
      <c r="B9498" s="32"/>
    </row>
    <row r="9499" spans="1:2" x14ac:dyDescent="0.35">
      <c r="A9499" s="32"/>
      <c r="B9499" s="32"/>
    </row>
    <row r="9500" spans="1:2" x14ac:dyDescent="0.35">
      <c r="A9500" s="32"/>
      <c r="B9500" s="32"/>
    </row>
    <row r="9501" spans="1:2" x14ac:dyDescent="0.35">
      <c r="A9501" s="32"/>
      <c r="B9501" s="32"/>
    </row>
    <row r="9502" spans="1:2" x14ac:dyDescent="0.35">
      <c r="A9502" s="32"/>
      <c r="B9502" s="32"/>
    </row>
    <row r="9503" spans="1:2" x14ac:dyDescent="0.35">
      <c r="A9503" s="32"/>
      <c r="B9503" s="32"/>
    </row>
    <row r="9504" spans="1:2" x14ac:dyDescent="0.35">
      <c r="A9504" s="32"/>
      <c r="B9504" s="32"/>
    </row>
    <row r="9505" spans="1:2" x14ac:dyDescent="0.35">
      <c r="A9505" s="32"/>
      <c r="B9505" s="32"/>
    </row>
    <row r="9506" spans="1:2" x14ac:dyDescent="0.35">
      <c r="A9506" s="32"/>
      <c r="B9506" s="32"/>
    </row>
    <row r="9507" spans="1:2" x14ac:dyDescent="0.35">
      <c r="A9507" s="32"/>
      <c r="B9507" s="32"/>
    </row>
    <row r="9508" spans="1:2" x14ac:dyDescent="0.35">
      <c r="A9508" s="32"/>
      <c r="B9508" s="32"/>
    </row>
    <row r="9509" spans="1:2" x14ac:dyDescent="0.35">
      <c r="A9509" s="32"/>
      <c r="B9509" s="32"/>
    </row>
    <row r="9510" spans="1:2" x14ac:dyDescent="0.35">
      <c r="A9510" s="32"/>
      <c r="B9510" s="32"/>
    </row>
    <row r="9511" spans="1:2" x14ac:dyDescent="0.35">
      <c r="A9511" s="32"/>
      <c r="B9511" s="32"/>
    </row>
    <row r="9512" spans="1:2" x14ac:dyDescent="0.35">
      <c r="A9512" s="32"/>
      <c r="B9512" s="32"/>
    </row>
    <row r="9513" spans="1:2" x14ac:dyDescent="0.35">
      <c r="A9513" s="32"/>
      <c r="B9513" s="32"/>
    </row>
    <row r="9514" spans="1:2" x14ac:dyDescent="0.35">
      <c r="A9514" s="32"/>
      <c r="B9514" s="32"/>
    </row>
    <row r="9515" spans="1:2" x14ac:dyDescent="0.35">
      <c r="A9515" s="32"/>
      <c r="B9515" s="32"/>
    </row>
    <row r="9516" spans="1:2" x14ac:dyDescent="0.35">
      <c r="A9516" s="32"/>
      <c r="B9516" s="32"/>
    </row>
    <row r="9517" spans="1:2" x14ac:dyDescent="0.35">
      <c r="A9517" s="32"/>
      <c r="B9517" s="32"/>
    </row>
    <row r="9518" spans="1:2" x14ac:dyDescent="0.35">
      <c r="A9518" s="32"/>
      <c r="B9518" s="32"/>
    </row>
    <row r="9519" spans="1:2" x14ac:dyDescent="0.35">
      <c r="A9519" s="32"/>
      <c r="B9519" s="32"/>
    </row>
    <row r="9520" spans="1:2" x14ac:dyDescent="0.35">
      <c r="A9520" s="32"/>
      <c r="B9520" s="32"/>
    </row>
    <row r="9521" spans="1:2" x14ac:dyDescent="0.35">
      <c r="A9521" s="32"/>
      <c r="B9521" s="32"/>
    </row>
    <row r="9522" spans="1:2" x14ac:dyDescent="0.35">
      <c r="A9522" s="32"/>
      <c r="B9522" s="32"/>
    </row>
    <row r="9523" spans="1:2" x14ac:dyDescent="0.35">
      <c r="A9523" s="32"/>
      <c r="B9523" s="32"/>
    </row>
    <row r="9524" spans="1:2" x14ac:dyDescent="0.35">
      <c r="A9524" s="32"/>
      <c r="B9524" s="32"/>
    </row>
    <row r="9525" spans="1:2" x14ac:dyDescent="0.35">
      <c r="A9525" s="32"/>
      <c r="B9525" s="32"/>
    </row>
    <row r="9526" spans="1:2" x14ac:dyDescent="0.35">
      <c r="A9526" s="32"/>
      <c r="B9526" s="32"/>
    </row>
    <row r="9527" spans="1:2" x14ac:dyDescent="0.35">
      <c r="A9527" s="32"/>
      <c r="B9527" s="32"/>
    </row>
    <row r="9528" spans="1:2" x14ac:dyDescent="0.35">
      <c r="A9528" s="32"/>
      <c r="B9528" s="32"/>
    </row>
    <row r="9529" spans="1:2" x14ac:dyDescent="0.35">
      <c r="A9529" s="32"/>
      <c r="B9529" s="32"/>
    </row>
    <row r="9530" spans="1:2" x14ac:dyDescent="0.35">
      <c r="A9530" s="32"/>
      <c r="B9530" s="32"/>
    </row>
    <row r="9531" spans="1:2" x14ac:dyDescent="0.35">
      <c r="A9531" s="32"/>
      <c r="B9531" s="32"/>
    </row>
    <row r="9532" spans="1:2" x14ac:dyDescent="0.35">
      <c r="A9532" s="32"/>
      <c r="B9532" s="32"/>
    </row>
    <row r="9533" spans="1:2" x14ac:dyDescent="0.35">
      <c r="A9533" s="32"/>
      <c r="B9533" s="32"/>
    </row>
    <row r="9534" spans="1:2" x14ac:dyDescent="0.35">
      <c r="A9534" s="32"/>
      <c r="B9534" s="32"/>
    </row>
    <row r="9535" spans="1:2" x14ac:dyDescent="0.35">
      <c r="A9535" s="32"/>
      <c r="B9535" s="32"/>
    </row>
    <row r="9536" spans="1:2" x14ac:dyDescent="0.35">
      <c r="A9536" s="32"/>
      <c r="B9536" s="32"/>
    </row>
    <row r="9537" spans="1:2" x14ac:dyDescent="0.35">
      <c r="A9537" s="32"/>
      <c r="B9537" s="32"/>
    </row>
    <row r="9538" spans="1:2" x14ac:dyDescent="0.35">
      <c r="A9538" s="32"/>
      <c r="B9538" s="32"/>
    </row>
    <row r="9539" spans="1:2" x14ac:dyDescent="0.35">
      <c r="A9539" s="32"/>
      <c r="B9539" s="32"/>
    </row>
    <row r="9540" spans="1:2" x14ac:dyDescent="0.35">
      <c r="A9540" s="32"/>
      <c r="B9540" s="32"/>
    </row>
    <row r="9541" spans="1:2" x14ac:dyDescent="0.35">
      <c r="A9541" s="32"/>
      <c r="B9541" s="32"/>
    </row>
    <row r="9542" spans="1:2" x14ac:dyDescent="0.35">
      <c r="A9542" s="32"/>
      <c r="B9542" s="32"/>
    </row>
    <row r="9543" spans="1:2" x14ac:dyDescent="0.35">
      <c r="A9543" s="32"/>
      <c r="B9543" s="32"/>
    </row>
    <row r="9544" spans="1:2" x14ac:dyDescent="0.35">
      <c r="A9544" s="32"/>
      <c r="B9544" s="32"/>
    </row>
    <row r="9545" spans="1:2" x14ac:dyDescent="0.35">
      <c r="A9545" s="32"/>
      <c r="B9545" s="32"/>
    </row>
    <row r="9546" spans="1:2" x14ac:dyDescent="0.35">
      <c r="A9546" s="32"/>
      <c r="B9546" s="32"/>
    </row>
    <row r="9547" spans="1:2" x14ac:dyDescent="0.35">
      <c r="A9547" s="32"/>
      <c r="B9547" s="32"/>
    </row>
    <row r="9548" spans="1:2" x14ac:dyDescent="0.35">
      <c r="A9548" s="32"/>
      <c r="B9548" s="32"/>
    </row>
    <row r="9549" spans="1:2" x14ac:dyDescent="0.35">
      <c r="A9549" s="32"/>
      <c r="B9549" s="32"/>
    </row>
    <row r="9550" spans="1:2" x14ac:dyDescent="0.35">
      <c r="A9550" s="32"/>
      <c r="B9550" s="32"/>
    </row>
    <row r="9551" spans="1:2" x14ac:dyDescent="0.35">
      <c r="A9551" s="32"/>
      <c r="B9551" s="32"/>
    </row>
    <row r="9552" spans="1:2" x14ac:dyDescent="0.35">
      <c r="A9552" s="32"/>
      <c r="B9552" s="32"/>
    </row>
    <row r="9553" spans="1:2" x14ac:dyDescent="0.35">
      <c r="A9553" s="32"/>
      <c r="B9553" s="32"/>
    </row>
    <row r="9554" spans="1:2" x14ac:dyDescent="0.35">
      <c r="A9554" s="32"/>
      <c r="B9554" s="32"/>
    </row>
    <row r="9555" spans="1:2" x14ac:dyDescent="0.35">
      <c r="A9555" s="32"/>
      <c r="B9555" s="32"/>
    </row>
    <row r="9556" spans="1:2" x14ac:dyDescent="0.35">
      <c r="A9556" s="32"/>
      <c r="B9556" s="32"/>
    </row>
    <row r="9557" spans="1:2" x14ac:dyDescent="0.35">
      <c r="A9557" s="32"/>
      <c r="B9557" s="32"/>
    </row>
    <row r="9558" spans="1:2" x14ac:dyDescent="0.35">
      <c r="A9558" s="32"/>
      <c r="B9558" s="32"/>
    </row>
    <row r="9559" spans="1:2" x14ac:dyDescent="0.35">
      <c r="A9559" s="32"/>
      <c r="B9559" s="32"/>
    </row>
    <row r="9560" spans="1:2" x14ac:dyDescent="0.35">
      <c r="A9560" s="32"/>
      <c r="B9560" s="32"/>
    </row>
    <row r="9561" spans="1:2" x14ac:dyDescent="0.35">
      <c r="A9561" s="32"/>
      <c r="B9561" s="32"/>
    </row>
    <row r="9562" spans="1:2" x14ac:dyDescent="0.35">
      <c r="A9562" s="32"/>
      <c r="B9562" s="32"/>
    </row>
    <row r="9563" spans="1:2" x14ac:dyDescent="0.35">
      <c r="A9563" s="32"/>
      <c r="B9563" s="32"/>
    </row>
    <row r="9564" spans="1:2" x14ac:dyDescent="0.35">
      <c r="A9564" s="32"/>
      <c r="B9564" s="32"/>
    </row>
    <row r="9565" spans="1:2" x14ac:dyDescent="0.35">
      <c r="A9565" s="32"/>
      <c r="B9565" s="32"/>
    </row>
    <row r="9566" spans="1:2" x14ac:dyDescent="0.35">
      <c r="A9566" s="32"/>
      <c r="B9566" s="32"/>
    </row>
    <row r="9567" spans="1:2" x14ac:dyDescent="0.35">
      <c r="A9567" s="32"/>
      <c r="B9567" s="32"/>
    </row>
    <row r="9568" spans="1:2" x14ac:dyDescent="0.35">
      <c r="A9568" s="32"/>
      <c r="B9568" s="32"/>
    </row>
    <row r="9569" spans="1:2" x14ac:dyDescent="0.35">
      <c r="A9569" s="32"/>
      <c r="B9569" s="32"/>
    </row>
    <row r="9570" spans="1:2" x14ac:dyDescent="0.35">
      <c r="A9570" s="32"/>
      <c r="B9570" s="32"/>
    </row>
    <row r="9571" spans="1:2" x14ac:dyDescent="0.35">
      <c r="A9571" s="32"/>
      <c r="B9571" s="32"/>
    </row>
    <row r="9572" spans="1:2" x14ac:dyDescent="0.35">
      <c r="A9572" s="32"/>
      <c r="B9572" s="32"/>
    </row>
    <row r="9573" spans="1:2" x14ac:dyDescent="0.35">
      <c r="A9573" s="32"/>
      <c r="B9573" s="32"/>
    </row>
    <row r="9574" spans="1:2" x14ac:dyDescent="0.35">
      <c r="A9574" s="32"/>
      <c r="B9574" s="32"/>
    </row>
    <row r="9575" spans="1:2" x14ac:dyDescent="0.35">
      <c r="A9575" s="32"/>
      <c r="B9575" s="32"/>
    </row>
    <row r="9576" spans="1:2" x14ac:dyDescent="0.35">
      <c r="A9576" s="32"/>
      <c r="B9576" s="32"/>
    </row>
    <row r="9577" spans="1:2" x14ac:dyDescent="0.35">
      <c r="A9577" s="32"/>
      <c r="B9577" s="32"/>
    </row>
    <row r="9578" spans="1:2" x14ac:dyDescent="0.35">
      <c r="A9578" s="32"/>
      <c r="B9578" s="32"/>
    </row>
    <row r="9579" spans="1:2" x14ac:dyDescent="0.35">
      <c r="A9579" s="32"/>
      <c r="B9579" s="32"/>
    </row>
    <row r="9580" spans="1:2" x14ac:dyDescent="0.35">
      <c r="A9580" s="32"/>
      <c r="B9580" s="32"/>
    </row>
    <row r="9581" spans="1:2" x14ac:dyDescent="0.35">
      <c r="A9581" s="32"/>
      <c r="B9581" s="32"/>
    </row>
    <row r="9582" spans="1:2" x14ac:dyDescent="0.35">
      <c r="A9582" s="32"/>
      <c r="B9582" s="32"/>
    </row>
    <row r="9583" spans="1:2" x14ac:dyDescent="0.35">
      <c r="A9583" s="32"/>
      <c r="B9583" s="32"/>
    </row>
    <row r="9584" spans="1:2" x14ac:dyDescent="0.35">
      <c r="A9584" s="32"/>
      <c r="B9584" s="32"/>
    </row>
    <row r="9585" spans="1:2" x14ac:dyDescent="0.35">
      <c r="A9585" s="32"/>
      <c r="B9585" s="32"/>
    </row>
    <row r="9586" spans="1:2" x14ac:dyDescent="0.35">
      <c r="A9586" s="32"/>
      <c r="B9586" s="32"/>
    </row>
    <row r="9587" spans="1:2" x14ac:dyDescent="0.35">
      <c r="A9587" s="32"/>
      <c r="B9587" s="32"/>
    </row>
    <row r="9588" spans="1:2" x14ac:dyDescent="0.35">
      <c r="A9588" s="32"/>
      <c r="B9588" s="32"/>
    </row>
    <row r="9589" spans="1:2" x14ac:dyDescent="0.35">
      <c r="A9589" s="32"/>
      <c r="B9589" s="32"/>
    </row>
    <row r="9590" spans="1:2" x14ac:dyDescent="0.35">
      <c r="A9590" s="32"/>
      <c r="B9590" s="32"/>
    </row>
    <row r="9591" spans="1:2" x14ac:dyDescent="0.35">
      <c r="A9591" s="32"/>
      <c r="B9591" s="32"/>
    </row>
    <row r="9592" spans="1:2" x14ac:dyDescent="0.35">
      <c r="A9592" s="32"/>
      <c r="B9592" s="32"/>
    </row>
    <row r="9593" spans="1:2" x14ac:dyDescent="0.35">
      <c r="A9593" s="32"/>
      <c r="B9593" s="32"/>
    </row>
    <row r="9594" spans="1:2" x14ac:dyDescent="0.35">
      <c r="A9594" s="32"/>
      <c r="B9594" s="32"/>
    </row>
    <row r="9595" spans="1:2" x14ac:dyDescent="0.35">
      <c r="A9595" s="32"/>
      <c r="B9595" s="32"/>
    </row>
    <row r="9596" spans="1:2" x14ac:dyDescent="0.35">
      <c r="A9596" s="32"/>
      <c r="B9596" s="32"/>
    </row>
    <row r="9597" spans="1:2" x14ac:dyDescent="0.35">
      <c r="A9597" s="32"/>
      <c r="B9597" s="32"/>
    </row>
    <row r="9598" spans="1:2" x14ac:dyDescent="0.35">
      <c r="A9598" s="32"/>
      <c r="B9598" s="32"/>
    </row>
    <row r="9599" spans="1:2" x14ac:dyDescent="0.35">
      <c r="A9599" s="32"/>
      <c r="B9599" s="32"/>
    </row>
    <row r="9600" spans="1:2" x14ac:dyDescent="0.35">
      <c r="A9600" s="32"/>
      <c r="B9600" s="32"/>
    </row>
    <row r="9601" spans="1:2" x14ac:dyDescent="0.35">
      <c r="A9601" s="32"/>
      <c r="B9601" s="32"/>
    </row>
    <row r="9602" spans="1:2" x14ac:dyDescent="0.35">
      <c r="A9602" s="32"/>
      <c r="B9602" s="32"/>
    </row>
    <row r="9603" spans="1:2" x14ac:dyDescent="0.35">
      <c r="A9603" s="32"/>
      <c r="B9603" s="32"/>
    </row>
    <row r="9604" spans="1:2" x14ac:dyDescent="0.35">
      <c r="A9604" s="32"/>
      <c r="B9604" s="32"/>
    </row>
    <row r="9605" spans="1:2" x14ac:dyDescent="0.35">
      <c r="A9605" s="32"/>
      <c r="B9605" s="32"/>
    </row>
    <row r="9606" spans="1:2" x14ac:dyDescent="0.35">
      <c r="A9606" s="32"/>
      <c r="B9606" s="32"/>
    </row>
    <row r="9607" spans="1:2" x14ac:dyDescent="0.35">
      <c r="A9607" s="32"/>
      <c r="B9607" s="32"/>
    </row>
    <row r="9608" spans="1:2" x14ac:dyDescent="0.35">
      <c r="A9608" s="32"/>
      <c r="B9608" s="32"/>
    </row>
    <row r="9609" spans="1:2" x14ac:dyDescent="0.35">
      <c r="A9609" s="32"/>
      <c r="B9609" s="32"/>
    </row>
    <row r="9610" spans="1:2" x14ac:dyDescent="0.35">
      <c r="A9610" s="32"/>
      <c r="B9610" s="32"/>
    </row>
    <row r="9611" spans="1:2" x14ac:dyDescent="0.35">
      <c r="A9611" s="32"/>
      <c r="B9611" s="32"/>
    </row>
    <row r="9612" spans="1:2" x14ac:dyDescent="0.35">
      <c r="A9612" s="32"/>
      <c r="B9612" s="32"/>
    </row>
    <row r="9613" spans="1:2" x14ac:dyDescent="0.35">
      <c r="A9613" s="32"/>
      <c r="B9613" s="32"/>
    </row>
    <row r="9614" spans="1:2" x14ac:dyDescent="0.35">
      <c r="A9614" s="32"/>
      <c r="B9614" s="32"/>
    </row>
    <row r="9615" spans="1:2" x14ac:dyDescent="0.35">
      <c r="A9615" s="32"/>
      <c r="B9615" s="32"/>
    </row>
    <row r="9616" spans="1:2" x14ac:dyDescent="0.35">
      <c r="A9616" s="32"/>
      <c r="B9616" s="32"/>
    </row>
    <row r="9617" spans="1:2" x14ac:dyDescent="0.35">
      <c r="A9617" s="32"/>
      <c r="B9617" s="32"/>
    </row>
    <row r="9618" spans="1:2" x14ac:dyDescent="0.35">
      <c r="A9618" s="32"/>
      <c r="B9618" s="32"/>
    </row>
    <row r="9619" spans="1:2" x14ac:dyDescent="0.35">
      <c r="A9619" s="32"/>
      <c r="B9619" s="32"/>
    </row>
    <row r="9620" spans="1:2" x14ac:dyDescent="0.35">
      <c r="A9620" s="32"/>
      <c r="B9620" s="32"/>
    </row>
    <row r="9621" spans="1:2" x14ac:dyDescent="0.35">
      <c r="A9621" s="32"/>
      <c r="B9621" s="32"/>
    </row>
    <row r="9622" spans="1:2" x14ac:dyDescent="0.35">
      <c r="A9622" s="32"/>
      <c r="B9622" s="32"/>
    </row>
    <row r="9623" spans="1:2" x14ac:dyDescent="0.35">
      <c r="A9623" s="32"/>
      <c r="B9623" s="32"/>
    </row>
    <row r="9624" spans="1:2" x14ac:dyDescent="0.35">
      <c r="A9624" s="32"/>
      <c r="B9624" s="32"/>
    </row>
    <row r="9625" spans="1:2" x14ac:dyDescent="0.35">
      <c r="A9625" s="32"/>
      <c r="B9625" s="32"/>
    </row>
    <row r="9626" spans="1:2" x14ac:dyDescent="0.35">
      <c r="A9626" s="32"/>
      <c r="B9626" s="32"/>
    </row>
    <row r="9627" spans="1:2" x14ac:dyDescent="0.35">
      <c r="A9627" s="32"/>
      <c r="B9627" s="32"/>
    </row>
    <row r="9628" spans="1:2" x14ac:dyDescent="0.35">
      <c r="A9628" s="32"/>
      <c r="B9628" s="32"/>
    </row>
    <row r="9629" spans="1:2" x14ac:dyDescent="0.35">
      <c r="A9629" s="32"/>
      <c r="B9629" s="32"/>
    </row>
    <row r="9630" spans="1:2" x14ac:dyDescent="0.35">
      <c r="A9630" s="32"/>
      <c r="B9630" s="32"/>
    </row>
    <row r="9631" spans="1:2" x14ac:dyDescent="0.35">
      <c r="A9631" s="32"/>
      <c r="B9631" s="32"/>
    </row>
    <row r="9632" spans="1:2" x14ac:dyDescent="0.35">
      <c r="A9632" s="32"/>
      <c r="B9632" s="32"/>
    </row>
    <row r="9633" spans="1:2" x14ac:dyDescent="0.35">
      <c r="A9633" s="32"/>
      <c r="B9633" s="32"/>
    </row>
    <row r="9634" spans="1:2" x14ac:dyDescent="0.35">
      <c r="A9634" s="32"/>
      <c r="B9634" s="32"/>
    </row>
    <row r="9635" spans="1:2" x14ac:dyDescent="0.35">
      <c r="A9635" s="32"/>
      <c r="B9635" s="32"/>
    </row>
    <row r="9636" spans="1:2" x14ac:dyDescent="0.35">
      <c r="A9636" s="32"/>
      <c r="B9636" s="32"/>
    </row>
    <row r="9637" spans="1:2" x14ac:dyDescent="0.35">
      <c r="A9637" s="32"/>
      <c r="B9637" s="32"/>
    </row>
    <row r="9638" spans="1:2" x14ac:dyDescent="0.35">
      <c r="A9638" s="32"/>
      <c r="B9638" s="32"/>
    </row>
    <row r="9639" spans="1:2" x14ac:dyDescent="0.35">
      <c r="A9639" s="32"/>
      <c r="B9639" s="32"/>
    </row>
    <row r="9640" spans="1:2" x14ac:dyDescent="0.35">
      <c r="A9640" s="32"/>
      <c r="B9640" s="32"/>
    </row>
    <row r="9641" spans="1:2" x14ac:dyDescent="0.35">
      <c r="A9641" s="32"/>
      <c r="B9641" s="32"/>
    </row>
    <row r="9642" spans="1:2" x14ac:dyDescent="0.35">
      <c r="A9642" s="32"/>
      <c r="B9642" s="32"/>
    </row>
    <row r="9643" spans="1:2" x14ac:dyDescent="0.35">
      <c r="A9643" s="32"/>
      <c r="B9643" s="32"/>
    </row>
    <row r="9644" spans="1:2" x14ac:dyDescent="0.35">
      <c r="A9644" s="32"/>
      <c r="B9644" s="32"/>
    </row>
    <row r="9645" spans="1:2" x14ac:dyDescent="0.35">
      <c r="A9645" s="32"/>
      <c r="B9645" s="32"/>
    </row>
    <row r="9646" spans="1:2" x14ac:dyDescent="0.35">
      <c r="A9646" s="32"/>
      <c r="B9646" s="32"/>
    </row>
    <row r="9647" spans="1:2" x14ac:dyDescent="0.35">
      <c r="A9647" s="32"/>
      <c r="B9647" s="32"/>
    </row>
    <row r="9648" spans="1:2" x14ac:dyDescent="0.35">
      <c r="A9648" s="32"/>
      <c r="B9648" s="32"/>
    </row>
    <row r="9649" spans="1:2" x14ac:dyDescent="0.35">
      <c r="A9649" s="32"/>
      <c r="B9649" s="32"/>
    </row>
    <row r="9650" spans="1:2" x14ac:dyDescent="0.35">
      <c r="A9650" s="32"/>
      <c r="B9650" s="32"/>
    </row>
    <row r="9651" spans="1:2" x14ac:dyDescent="0.35">
      <c r="A9651" s="32"/>
      <c r="B9651" s="32"/>
    </row>
    <row r="9652" spans="1:2" x14ac:dyDescent="0.35">
      <c r="A9652" s="32"/>
      <c r="B9652" s="32"/>
    </row>
    <row r="9653" spans="1:2" x14ac:dyDescent="0.35">
      <c r="A9653" s="32"/>
      <c r="B9653" s="32"/>
    </row>
    <row r="9654" spans="1:2" x14ac:dyDescent="0.35">
      <c r="A9654" s="32"/>
      <c r="B9654" s="32"/>
    </row>
    <row r="9655" spans="1:2" x14ac:dyDescent="0.35">
      <c r="A9655" s="32"/>
      <c r="B9655" s="32"/>
    </row>
    <row r="9656" spans="1:2" x14ac:dyDescent="0.35">
      <c r="A9656" s="32"/>
      <c r="B9656" s="32"/>
    </row>
    <row r="9657" spans="1:2" x14ac:dyDescent="0.35">
      <c r="A9657" s="32"/>
      <c r="B9657" s="32"/>
    </row>
    <row r="9658" spans="1:2" x14ac:dyDescent="0.35">
      <c r="A9658" s="32"/>
      <c r="B9658" s="32"/>
    </row>
    <row r="9659" spans="1:2" x14ac:dyDescent="0.35">
      <c r="A9659" s="32"/>
      <c r="B9659" s="32"/>
    </row>
    <row r="9660" spans="1:2" x14ac:dyDescent="0.35">
      <c r="A9660" s="32"/>
      <c r="B9660" s="32"/>
    </row>
    <row r="9661" spans="1:2" x14ac:dyDescent="0.35">
      <c r="A9661" s="32"/>
      <c r="B9661" s="32"/>
    </row>
    <row r="9662" spans="1:2" x14ac:dyDescent="0.35">
      <c r="A9662" s="32"/>
      <c r="B9662" s="32"/>
    </row>
    <row r="9663" spans="1:2" x14ac:dyDescent="0.35">
      <c r="A9663" s="32"/>
      <c r="B9663" s="32"/>
    </row>
    <row r="9664" spans="1:2" x14ac:dyDescent="0.35">
      <c r="A9664" s="32"/>
      <c r="B9664" s="32"/>
    </row>
    <row r="9665" spans="1:2" x14ac:dyDescent="0.35">
      <c r="A9665" s="32"/>
      <c r="B9665" s="32"/>
    </row>
    <row r="9666" spans="1:2" x14ac:dyDescent="0.35">
      <c r="A9666" s="32"/>
      <c r="B9666" s="32"/>
    </row>
    <row r="9667" spans="1:2" x14ac:dyDescent="0.35">
      <c r="A9667" s="32"/>
      <c r="B9667" s="32"/>
    </row>
    <row r="9668" spans="1:2" x14ac:dyDescent="0.35">
      <c r="A9668" s="32"/>
      <c r="B9668" s="32"/>
    </row>
    <row r="9669" spans="1:2" x14ac:dyDescent="0.35">
      <c r="A9669" s="32"/>
      <c r="B9669" s="32"/>
    </row>
    <row r="9670" spans="1:2" x14ac:dyDescent="0.35">
      <c r="A9670" s="32"/>
      <c r="B9670" s="32"/>
    </row>
    <row r="9671" spans="1:2" x14ac:dyDescent="0.35">
      <c r="A9671" s="32"/>
      <c r="B9671" s="32"/>
    </row>
    <row r="9672" spans="1:2" x14ac:dyDescent="0.35">
      <c r="A9672" s="32"/>
      <c r="B9672" s="32"/>
    </row>
    <row r="9673" spans="1:2" x14ac:dyDescent="0.35">
      <c r="A9673" s="32"/>
      <c r="B9673" s="32"/>
    </row>
    <row r="9674" spans="1:2" x14ac:dyDescent="0.35">
      <c r="A9674" s="32"/>
      <c r="B9674" s="32"/>
    </row>
    <row r="9675" spans="1:2" x14ac:dyDescent="0.35">
      <c r="A9675" s="32"/>
      <c r="B9675" s="32"/>
    </row>
    <row r="9676" spans="1:2" x14ac:dyDescent="0.35">
      <c r="A9676" s="32"/>
      <c r="B9676" s="32"/>
    </row>
    <row r="9677" spans="1:2" x14ac:dyDescent="0.35">
      <c r="A9677" s="32"/>
      <c r="B9677" s="32"/>
    </row>
    <row r="9678" spans="1:2" x14ac:dyDescent="0.35">
      <c r="A9678" s="32"/>
      <c r="B9678" s="32"/>
    </row>
    <row r="9679" spans="1:2" x14ac:dyDescent="0.35">
      <c r="A9679" s="32"/>
      <c r="B9679" s="32"/>
    </row>
    <row r="9680" spans="1:2" x14ac:dyDescent="0.35">
      <c r="A9680" s="32"/>
      <c r="B9680" s="32"/>
    </row>
    <row r="9681" spans="1:2" x14ac:dyDescent="0.35">
      <c r="A9681" s="32"/>
      <c r="B9681" s="32"/>
    </row>
    <row r="9682" spans="1:2" x14ac:dyDescent="0.35">
      <c r="A9682" s="32"/>
      <c r="B9682" s="32"/>
    </row>
    <row r="9683" spans="1:2" x14ac:dyDescent="0.35">
      <c r="A9683" s="32"/>
      <c r="B9683" s="32"/>
    </row>
    <row r="9684" spans="1:2" x14ac:dyDescent="0.35">
      <c r="A9684" s="32"/>
      <c r="B9684" s="32"/>
    </row>
    <row r="9685" spans="1:2" x14ac:dyDescent="0.35">
      <c r="A9685" s="32"/>
      <c r="B9685" s="32"/>
    </row>
    <row r="9686" spans="1:2" x14ac:dyDescent="0.35">
      <c r="A9686" s="32"/>
      <c r="B9686" s="32"/>
    </row>
    <row r="9687" spans="1:2" x14ac:dyDescent="0.35">
      <c r="A9687" s="32"/>
      <c r="B9687" s="32"/>
    </row>
    <row r="9688" spans="1:2" x14ac:dyDescent="0.35">
      <c r="A9688" s="32"/>
      <c r="B9688" s="32"/>
    </row>
    <row r="9689" spans="1:2" x14ac:dyDescent="0.35">
      <c r="A9689" s="32"/>
      <c r="B9689" s="32"/>
    </row>
    <row r="9690" spans="1:2" x14ac:dyDescent="0.35">
      <c r="A9690" s="32"/>
      <c r="B9690" s="32"/>
    </row>
    <row r="9691" spans="1:2" x14ac:dyDescent="0.35">
      <c r="A9691" s="32"/>
      <c r="B9691" s="32"/>
    </row>
    <row r="9692" spans="1:2" x14ac:dyDescent="0.35">
      <c r="A9692" s="32"/>
      <c r="B9692" s="32"/>
    </row>
    <row r="9693" spans="1:2" x14ac:dyDescent="0.35">
      <c r="A9693" s="32"/>
      <c r="B9693" s="32"/>
    </row>
    <row r="9694" spans="1:2" x14ac:dyDescent="0.35">
      <c r="A9694" s="32"/>
      <c r="B9694" s="32"/>
    </row>
    <row r="9695" spans="1:2" x14ac:dyDescent="0.35">
      <c r="A9695" s="32"/>
      <c r="B9695" s="32"/>
    </row>
    <row r="9696" spans="1:2" x14ac:dyDescent="0.35">
      <c r="A9696" s="32"/>
      <c r="B9696" s="32"/>
    </row>
    <row r="9697" spans="1:2" x14ac:dyDescent="0.35">
      <c r="A9697" s="32"/>
      <c r="B9697" s="32"/>
    </row>
    <row r="9698" spans="1:2" x14ac:dyDescent="0.35">
      <c r="A9698" s="32"/>
      <c r="B9698" s="32"/>
    </row>
    <row r="9699" spans="1:2" x14ac:dyDescent="0.35">
      <c r="A9699" s="32"/>
      <c r="B9699" s="32"/>
    </row>
    <row r="9700" spans="1:2" x14ac:dyDescent="0.35">
      <c r="A9700" s="32"/>
      <c r="B9700" s="32"/>
    </row>
    <row r="9701" spans="1:2" x14ac:dyDescent="0.35">
      <c r="A9701" s="32"/>
      <c r="B9701" s="32"/>
    </row>
    <row r="9702" spans="1:2" x14ac:dyDescent="0.35">
      <c r="A9702" s="32"/>
      <c r="B9702" s="32"/>
    </row>
    <row r="9703" spans="1:2" x14ac:dyDescent="0.35">
      <c r="A9703" s="32"/>
      <c r="B9703" s="32"/>
    </row>
    <row r="9704" spans="1:2" x14ac:dyDescent="0.35">
      <c r="A9704" s="32"/>
      <c r="B9704" s="32"/>
    </row>
    <row r="9705" spans="1:2" x14ac:dyDescent="0.35">
      <c r="A9705" s="32"/>
      <c r="B9705" s="32"/>
    </row>
    <row r="9706" spans="1:2" x14ac:dyDescent="0.35">
      <c r="A9706" s="32"/>
      <c r="B9706" s="32"/>
    </row>
    <row r="9707" spans="1:2" x14ac:dyDescent="0.35">
      <c r="A9707" s="32"/>
      <c r="B9707" s="32"/>
    </row>
    <row r="9708" spans="1:2" x14ac:dyDescent="0.35">
      <c r="A9708" s="32"/>
      <c r="B9708" s="32"/>
    </row>
    <row r="9709" spans="1:2" x14ac:dyDescent="0.35">
      <c r="A9709" s="32"/>
      <c r="B9709" s="32"/>
    </row>
    <row r="9710" spans="1:2" x14ac:dyDescent="0.35">
      <c r="A9710" s="32"/>
      <c r="B9710" s="32"/>
    </row>
    <row r="9711" spans="1:2" x14ac:dyDescent="0.35">
      <c r="A9711" s="32"/>
      <c r="B9711" s="32"/>
    </row>
    <row r="9712" spans="1:2" x14ac:dyDescent="0.35">
      <c r="A9712" s="32"/>
      <c r="B9712" s="32"/>
    </row>
    <row r="9713" spans="1:2" x14ac:dyDescent="0.35">
      <c r="A9713" s="32"/>
      <c r="B9713" s="32"/>
    </row>
    <row r="9714" spans="1:2" x14ac:dyDescent="0.35">
      <c r="A9714" s="32"/>
      <c r="B9714" s="32"/>
    </row>
    <row r="9715" spans="1:2" x14ac:dyDescent="0.35">
      <c r="A9715" s="32"/>
      <c r="B9715" s="32"/>
    </row>
    <row r="9716" spans="1:2" x14ac:dyDescent="0.35">
      <c r="A9716" s="32"/>
      <c r="B9716" s="32"/>
    </row>
    <row r="9717" spans="1:2" x14ac:dyDescent="0.35">
      <c r="A9717" s="32"/>
      <c r="B9717" s="32"/>
    </row>
    <row r="9718" spans="1:2" x14ac:dyDescent="0.35">
      <c r="A9718" s="32"/>
      <c r="B9718" s="32"/>
    </row>
    <row r="9719" spans="1:2" x14ac:dyDescent="0.35">
      <c r="A9719" s="32"/>
      <c r="B9719" s="32"/>
    </row>
    <row r="9720" spans="1:2" x14ac:dyDescent="0.35">
      <c r="A9720" s="32"/>
      <c r="B9720" s="32"/>
    </row>
    <row r="9721" spans="1:2" x14ac:dyDescent="0.35">
      <c r="A9721" s="32"/>
      <c r="B9721" s="32"/>
    </row>
    <row r="9722" spans="1:2" x14ac:dyDescent="0.35">
      <c r="A9722" s="32"/>
      <c r="B9722" s="32"/>
    </row>
    <row r="9723" spans="1:2" x14ac:dyDescent="0.35">
      <c r="A9723" s="32"/>
      <c r="B9723" s="32"/>
    </row>
    <row r="9724" spans="1:2" x14ac:dyDescent="0.35">
      <c r="A9724" s="32"/>
      <c r="B9724" s="32"/>
    </row>
    <row r="9725" spans="1:2" x14ac:dyDescent="0.35">
      <c r="A9725" s="32"/>
      <c r="B9725" s="32"/>
    </row>
    <row r="9726" spans="1:2" x14ac:dyDescent="0.35">
      <c r="A9726" s="32"/>
      <c r="B9726" s="32"/>
    </row>
    <row r="9727" spans="1:2" x14ac:dyDescent="0.35">
      <c r="A9727" s="32"/>
      <c r="B9727" s="32"/>
    </row>
    <row r="9728" spans="1:2" x14ac:dyDescent="0.35">
      <c r="A9728" s="32"/>
      <c r="B9728" s="32"/>
    </row>
    <row r="9729" spans="1:2" x14ac:dyDescent="0.35">
      <c r="A9729" s="32"/>
      <c r="B9729" s="32"/>
    </row>
    <row r="9730" spans="1:2" x14ac:dyDescent="0.35">
      <c r="A9730" s="32"/>
      <c r="B9730" s="32"/>
    </row>
    <row r="9731" spans="1:2" x14ac:dyDescent="0.35">
      <c r="A9731" s="32"/>
      <c r="B9731" s="32"/>
    </row>
    <row r="9732" spans="1:2" x14ac:dyDescent="0.35">
      <c r="A9732" s="32"/>
      <c r="B9732" s="32"/>
    </row>
    <row r="9733" spans="1:2" x14ac:dyDescent="0.35">
      <c r="A9733" s="32"/>
      <c r="B9733" s="32"/>
    </row>
    <row r="9734" spans="1:2" x14ac:dyDescent="0.35">
      <c r="A9734" s="32"/>
      <c r="B9734" s="32"/>
    </row>
    <row r="9735" spans="1:2" x14ac:dyDescent="0.35">
      <c r="A9735" s="32"/>
      <c r="B9735" s="32"/>
    </row>
    <row r="9736" spans="1:2" x14ac:dyDescent="0.35">
      <c r="A9736" s="32"/>
      <c r="B9736" s="32"/>
    </row>
    <row r="9737" spans="1:2" x14ac:dyDescent="0.35">
      <c r="A9737" s="32"/>
      <c r="B9737" s="32"/>
    </row>
    <row r="9738" spans="1:2" x14ac:dyDescent="0.35">
      <c r="A9738" s="32"/>
      <c r="B9738" s="32"/>
    </row>
    <row r="9739" spans="1:2" x14ac:dyDescent="0.35">
      <c r="A9739" s="32"/>
      <c r="B9739" s="32"/>
    </row>
    <row r="9740" spans="1:2" x14ac:dyDescent="0.35">
      <c r="A9740" s="32"/>
      <c r="B9740" s="32"/>
    </row>
    <row r="9741" spans="1:2" x14ac:dyDescent="0.35">
      <c r="A9741" s="32"/>
      <c r="B9741" s="32"/>
    </row>
    <row r="9742" spans="1:2" x14ac:dyDescent="0.35">
      <c r="A9742" s="32"/>
      <c r="B9742" s="32"/>
    </row>
    <row r="9743" spans="1:2" x14ac:dyDescent="0.35">
      <c r="A9743" s="32"/>
      <c r="B9743" s="32"/>
    </row>
    <row r="9744" spans="1:2" x14ac:dyDescent="0.35">
      <c r="A9744" s="32"/>
      <c r="B9744" s="32"/>
    </row>
    <row r="9745" spans="1:2" x14ac:dyDescent="0.35">
      <c r="A9745" s="32"/>
      <c r="B9745" s="32"/>
    </row>
    <row r="9746" spans="1:2" x14ac:dyDescent="0.35">
      <c r="A9746" s="32"/>
      <c r="B9746" s="32"/>
    </row>
    <row r="9747" spans="1:2" x14ac:dyDescent="0.35">
      <c r="A9747" s="32"/>
      <c r="B9747" s="32"/>
    </row>
    <row r="9748" spans="1:2" x14ac:dyDescent="0.35">
      <c r="A9748" s="32"/>
      <c r="B9748" s="32"/>
    </row>
    <row r="9749" spans="1:2" x14ac:dyDescent="0.35">
      <c r="A9749" s="32"/>
      <c r="B9749" s="32"/>
    </row>
    <row r="9750" spans="1:2" x14ac:dyDescent="0.35">
      <c r="A9750" s="32"/>
      <c r="B9750" s="32"/>
    </row>
    <row r="9751" spans="1:2" x14ac:dyDescent="0.35">
      <c r="A9751" s="32"/>
      <c r="B9751" s="32"/>
    </row>
    <row r="9752" spans="1:2" x14ac:dyDescent="0.35">
      <c r="A9752" s="32"/>
      <c r="B9752" s="32"/>
    </row>
    <row r="9753" spans="1:2" x14ac:dyDescent="0.35">
      <c r="A9753" s="32"/>
      <c r="B9753" s="32"/>
    </row>
    <row r="9754" spans="1:2" x14ac:dyDescent="0.35">
      <c r="A9754" s="32"/>
      <c r="B9754" s="32"/>
    </row>
    <row r="9755" spans="1:2" x14ac:dyDescent="0.35">
      <c r="A9755" s="32"/>
      <c r="B9755" s="32"/>
    </row>
    <row r="9756" spans="1:2" x14ac:dyDescent="0.35">
      <c r="A9756" s="32"/>
      <c r="B9756" s="32"/>
    </row>
    <row r="9757" spans="1:2" x14ac:dyDescent="0.35">
      <c r="A9757" s="32"/>
      <c r="B9757" s="32"/>
    </row>
    <row r="9758" spans="1:2" x14ac:dyDescent="0.35">
      <c r="A9758" s="32"/>
      <c r="B9758" s="32"/>
    </row>
    <row r="9759" spans="1:2" x14ac:dyDescent="0.35">
      <c r="A9759" s="32"/>
      <c r="B9759" s="32"/>
    </row>
    <row r="9760" spans="1:2" x14ac:dyDescent="0.35">
      <c r="A9760" s="32"/>
      <c r="B9760" s="32"/>
    </row>
    <row r="9761" spans="1:2" x14ac:dyDescent="0.35">
      <c r="A9761" s="32"/>
      <c r="B9761" s="32"/>
    </row>
    <row r="9762" spans="1:2" x14ac:dyDescent="0.35">
      <c r="A9762" s="32"/>
      <c r="B9762" s="32"/>
    </row>
    <row r="9763" spans="1:2" x14ac:dyDescent="0.35">
      <c r="A9763" s="32"/>
      <c r="B9763" s="32"/>
    </row>
    <row r="9764" spans="1:2" x14ac:dyDescent="0.35">
      <c r="A9764" s="32"/>
      <c r="B9764" s="32"/>
    </row>
    <row r="9765" spans="1:2" x14ac:dyDescent="0.35">
      <c r="A9765" s="32"/>
      <c r="B9765" s="32"/>
    </row>
    <row r="9766" spans="1:2" x14ac:dyDescent="0.35">
      <c r="A9766" s="32"/>
      <c r="B9766" s="32"/>
    </row>
    <row r="9767" spans="1:2" x14ac:dyDescent="0.35">
      <c r="A9767" s="32"/>
      <c r="B9767" s="32"/>
    </row>
    <row r="9768" spans="1:2" x14ac:dyDescent="0.35">
      <c r="A9768" s="32"/>
      <c r="B9768" s="32"/>
    </row>
    <row r="9769" spans="1:2" x14ac:dyDescent="0.35">
      <c r="A9769" s="32"/>
      <c r="B9769" s="32"/>
    </row>
    <row r="9770" spans="1:2" x14ac:dyDescent="0.35">
      <c r="A9770" s="32"/>
      <c r="B9770" s="32"/>
    </row>
    <row r="9771" spans="1:2" x14ac:dyDescent="0.35">
      <c r="A9771" s="32"/>
      <c r="B9771" s="32"/>
    </row>
    <row r="9772" spans="1:2" x14ac:dyDescent="0.35">
      <c r="A9772" s="32"/>
      <c r="B9772" s="32"/>
    </row>
    <row r="9773" spans="1:2" x14ac:dyDescent="0.35">
      <c r="A9773" s="32"/>
      <c r="B9773" s="32"/>
    </row>
    <row r="9774" spans="1:2" x14ac:dyDescent="0.35">
      <c r="A9774" s="32"/>
      <c r="B9774" s="32"/>
    </row>
    <row r="9775" spans="1:2" x14ac:dyDescent="0.35">
      <c r="A9775" s="32"/>
      <c r="B9775" s="32"/>
    </row>
    <row r="9776" spans="1:2" x14ac:dyDescent="0.35">
      <c r="A9776" s="32"/>
      <c r="B9776" s="32"/>
    </row>
    <row r="9777" spans="1:2" x14ac:dyDescent="0.35">
      <c r="A9777" s="32"/>
      <c r="B9777" s="32"/>
    </row>
    <row r="9778" spans="1:2" x14ac:dyDescent="0.35">
      <c r="A9778" s="32"/>
      <c r="B9778" s="32"/>
    </row>
    <row r="9779" spans="1:2" x14ac:dyDescent="0.35">
      <c r="A9779" s="32"/>
      <c r="B9779" s="32"/>
    </row>
    <row r="9780" spans="1:2" x14ac:dyDescent="0.35">
      <c r="A9780" s="32"/>
      <c r="B9780" s="32"/>
    </row>
    <row r="9781" spans="1:2" x14ac:dyDescent="0.35">
      <c r="A9781" s="32"/>
      <c r="B9781" s="32"/>
    </row>
    <row r="9782" spans="1:2" x14ac:dyDescent="0.35">
      <c r="A9782" s="32"/>
      <c r="B9782" s="32"/>
    </row>
    <row r="9783" spans="1:2" x14ac:dyDescent="0.35">
      <c r="A9783" s="32"/>
      <c r="B9783" s="32"/>
    </row>
    <row r="9784" spans="1:2" x14ac:dyDescent="0.35">
      <c r="A9784" s="32"/>
      <c r="B9784" s="32"/>
    </row>
    <row r="9785" spans="1:2" x14ac:dyDescent="0.35">
      <c r="A9785" s="32"/>
      <c r="B9785" s="32"/>
    </row>
    <row r="9786" spans="1:2" x14ac:dyDescent="0.35">
      <c r="A9786" s="32"/>
      <c r="B9786" s="32"/>
    </row>
    <row r="9787" spans="1:2" x14ac:dyDescent="0.35">
      <c r="A9787" s="32"/>
      <c r="B9787" s="32"/>
    </row>
    <row r="9788" spans="1:2" x14ac:dyDescent="0.35">
      <c r="A9788" s="32"/>
      <c r="B9788" s="32"/>
    </row>
    <row r="9789" spans="1:2" x14ac:dyDescent="0.35">
      <c r="A9789" s="32"/>
      <c r="B9789" s="32"/>
    </row>
    <row r="9790" spans="1:2" x14ac:dyDescent="0.35">
      <c r="A9790" s="32"/>
      <c r="B9790" s="32"/>
    </row>
    <row r="9791" spans="1:2" x14ac:dyDescent="0.35">
      <c r="A9791" s="32"/>
      <c r="B9791" s="32"/>
    </row>
    <row r="9792" spans="1:2" x14ac:dyDescent="0.35">
      <c r="A9792" s="32"/>
      <c r="B9792" s="32"/>
    </row>
    <row r="9793" spans="1:2" x14ac:dyDescent="0.35">
      <c r="A9793" s="32"/>
      <c r="B9793" s="32"/>
    </row>
    <row r="9794" spans="1:2" x14ac:dyDescent="0.35">
      <c r="A9794" s="32"/>
      <c r="B9794" s="32"/>
    </row>
    <row r="9795" spans="1:2" x14ac:dyDescent="0.35">
      <c r="A9795" s="32"/>
      <c r="B9795" s="32"/>
    </row>
    <row r="9796" spans="1:2" x14ac:dyDescent="0.35">
      <c r="A9796" s="32"/>
      <c r="B9796" s="32"/>
    </row>
    <row r="9797" spans="1:2" x14ac:dyDescent="0.35">
      <c r="A9797" s="32"/>
      <c r="B9797" s="32"/>
    </row>
    <row r="9798" spans="1:2" x14ac:dyDescent="0.35">
      <c r="A9798" s="32"/>
      <c r="B9798" s="32"/>
    </row>
    <row r="9799" spans="1:2" x14ac:dyDescent="0.35">
      <c r="A9799" s="32"/>
      <c r="B9799" s="32"/>
    </row>
    <row r="9800" spans="1:2" x14ac:dyDescent="0.35">
      <c r="A9800" s="32"/>
      <c r="B9800" s="32"/>
    </row>
    <row r="9801" spans="1:2" x14ac:dyDescent="0.35">
      <c r="A9801" s="32"/>
      <c r="B9801" s="32"/>
    </row>
    <row r="9802" spans="1:2" x14ac:dyDescent="0.35">
      <c r="A9802" s="32"/>
      <c r="B9802" s="32"/>
    </row>
    <row r="9803" spans="1:2" x14ac:dyDescent="0.35">
      <c r="A9803" s="32"/>
      <c r="B9803" s="32"/>
    </row>
    <row r="9804" spans="1:2" x14ac:dyDescent="0.35">
      <c r="A9804" s="32"/>
      <c r="B9804" s="32"/>
    </row>
    <row r="9805" spans="1:2" x14ac:dyDescent="0.35">
      <c r="A9805" s="32"/>
      <c r="B9805" s="32"/>
    </row>
    <row r="9806" spans="1:2" x14ac:dyDescent="0.35">
      <c r="A9806" s="32"/>
      <c r="B9806" s="32"/>
    </row>
    <row r="9807" spans="1:2" x14ac:dyDescent="0.35">
      <c r="A9807" s="32"/>
      <c r="B9807" s="32"/>
    </row>
    <row r="9808" spans="1:2" x14ac:dyDescent="0.35">
      <c r="A9808" s="32"/>
      <c r="B9808" s="32"/>
    </row>
    <row r="9809" spans="1:2" x14ac:dyDescent="0.35">
      <c r="A9809" s="32"/>
      <c r="B9809" s="32"/>
    </row>
    <row r="9810" spans="1:2" x14ac:dyDescent="0.35">
      <c r="A9810" s="32"/>
      <c r="B9810" s="32"/>
    </row>
    <row r="9811" spans="1:2" x14ac:dyDescent="0.35">
      <c r="A9811" s="32"/>
      <c r="B9811" s="32"/>
    </row>
    <row r="9812" spans="1:2" x14ac:dyDescent="0.35">
      <c r="A9812" s="32"/>
      <c r="B9812" s="32"/>
    </row>
    <row r="9813" spans="1:2" x14ac:dyDescent="0.35">
      <c r="A9813" s="32"/>
      <c r="B9813" s="32"/>
    </row>
    <row r="9814" spans="1:2" x14ac:dyDescent="0.35">
      <c r="A9814" s="32"/>
      <c r="B9814" s="32"/>
    </row>
    <row r="9815" spans="1:2" x14ac:dyDescent="0.35">
      <c r="A9815" s="32"/>
      <c r="B9815" s="32"/>
    </row>
    <row r="9816" spans="1:2" x14ac:dyDescent="0.35">
      <c r="A9816" s="32"/>
      <c r="B9816" s="32"/>
    </row>
    <row r="9817" spans="1:2" x14ac:dyDescent="0.35">
      <c r="A9817" s="32"/>
      <c r="B9817" s="32"/>
    </row>
    <row r="9818" spans="1:2" x14ac:dyDescent="0.35">
      <c r="A9818" s="32"/>
      <c r="B9818" s="32"/>
    </row>
    <row r="9819" spans="1:2" x14ac:dyDescent="0.35">
      <c r="A9819" s="32"/>
      <c r="B9819" s="32"/>
    </row>
    <row r="9820" spans="1:2" x14ac:dyDescent="0.35">
      <c r="A9820" s="32"/>
      <c r="B9820" s="32"/>
    </row>
    <row r="9821" spans="1:2" x14ac:dyDescent="0.35">
      <c r="A9821" s="32"/>
      <c r="B9821" s="32"/>
    </row>
    <row r="9822" spans="1:2" x14ac:dyDescent="0.35">
      <c r="A9822" s="32"/>
      <c r="B9822" s="32"/>
    </row>
    <row r="9823" spans="1:2" x14ac:dyDescent="0.35">
      <c r="A9823" s="32"/>
      <c r="B9823" s="32"/>
    </row>
    <row r="9824" spans="1:2" x14ac:dyDescent="0.35">
      <c r="A9824" s="32"/>
      <c r="B9824" s="32"/>
    </row>
    <row r="9825" spans="1:2" x14ac:dyDescent="0.35">
      <c r="A9825" s="32"/>
      <c r="B9825" s="32"/>
    </row>
    <row r="9826" spans="1:2" x14ac:dyDescent="0.35">
      <c r="A9826" s="32"/>
      <c r="B9826" s="32"/>
    </row>
    <row r="9827" spans="1:2" x14ac:dyDescent="0.35">
      <c r="A9827" s="32"/>
      <c r="B9827" s="32"/>
    </row>
    <row r="9828" spans="1:2" x14ac:dyDescent="0.35">
      <c r="A9828" s="32"/>
      <c r="B9828" s="32"/>
    </row>
    <row r="9829" spans="1:2" x14ac:dyDescent="0.35">
      <c r="A9829" s="32"/>
      <c r="B9829" s="32"/>
    </row>
    <row r="9830" spans="1:2" x14ac:dyDescent="0.35">
      <c r="A9830" s="32"/>
      <c r="B9830" s="32"/>
    </row>
    <row r="9831" spans="1:2" x14ac:dyDescent="0.35">
      <c r="A9831" s="32"/>
      <c r="B9831" s="32"/>
    </row>
    <row r="9832" spans="1:2" x14ac:dyDescent="0.35">
      <c r="A9832" s="32"/>
      <c r="B9832" s="32"/>
    </row>
    <row r="9833" spans="1:2" x14ac:dyDescent="0.35">
      <c r="A9833" s="32"/>
      <c r="B9833" s="32"/>
    </row>
    <row r="9834" spans="1:2" x14ac:dyDescent="0.35">
      <c r="A9834" s="32"/>
      <c r="B9834" s="32"/>
    </row>
    <row r="9835" spans="1:2" x14ac:dyDescent="0.35">
      <c r="A9835" s="32"/>
      <c r="B9835" s="32"/>
    </row>
    <row r="9836" spans="1:2" x14ac:dyDescent="0.35">
      <c r="A9836" s="32"/>
      <c r="B9836" s="32"/>
    </row>
    <row r="9837" spans="1:2" x14ac:dyDescent="0.35">
      <c r="A9837" s="32"/>
      <c r="B9837" s="32"/>
    </row>
    <row r="9838" spans="1:2" x14ac:dyDescent="0.35">
      <c r="A9838" s="32"/>
      <c r="B9838" s="32"/>
    </row>
    <row r="9839" spans="1:2" x14ac:dyDescent="0.35">
      <c r="A9839" s="32"/>
      <c r="B9839" s="32"/>
    </row>
    <row r="9840" spans="1:2" x14ac:dyDescent="0.35">
      <c r="A9840" s="32"/>
      <c r="B9840" s="32"/>
    </row>
    <row r="9841" spans="1:2" x14ac:dyDescent="0.35">
      <c r="A9841" s="32"/>
      <c r="B9841" s="32"/>
    </row>
    <row r="9842" spans="1:2" x14ac:dyDescent="0.35">
      <c r="A9842" s="32"/>
      <c r="B9842" s="32"/>
    </row>
    <row r="9843" spans="1:2" x14ac:dyDescent="0.35">
      <c r="A9843" s="32"/>
      <c r="B9843" s="32"/>
    </row>
    <row r="9844" spans="1:2" x14ac:dyDescent="0.35">
      <c r="A9844" s="32"/>
      <c r="B9844" s="32"/>
    </row>
    <row r="9845" spans="1:2" x14ac:dyDescent="0.35">
      <c r="A9845" s="32"/>
      <c r="B9845" s="32"/>
    </row>
    <row r="9846" spans="1:2" x14ac:dyDescent="0.35">
      <c r="A9846" s="32"/>
      <c r="B9846" s="32"/>
    </row>
    <row r="9847" spans="1:2" x14ac:dyDescent="0.35">
      <c r="A9847" s="32"/>
      <c r="B9847" s="32"/>
    </row>
    <row r="9848" spans="1:2" x14ac:dyDescent="0.35">
      <c r="A9848" s="32"/>
      <c r="B9848" s="32"/>
    </row>
    <row r="9849" spans="1:2" x14ac:dyDescent="0.35">
      <c r="A9849" s="32"/>
      <c r="B9849" s="32"/>
    </row>
    <row r="9850" spans="1:2" x14ac:dyDescent="0.35">
      <c r="A9850" s="32"/>
      <c r="B9850" s="32"/>
    </row>
    <row r="9851" spans="1:2" x14ac:dyDescent="0.35">
      <c r="A9851" s="32"/>
      <c r="B9851" s="32"/>
    </row>
    <row r="9852" spans="1:2" x14ac:dyDescent="0.35">
      <c r="A9852" s="32"/>
      <c r="B9852" s="32"/>
    </row>
    <row r="9853" spans="1:2" x14ac:dyDescent="0.35">
      <c r="A9853" s="32"/>
      <c r="B9853" s="32"/>
    </row>
    <row r="9854" spans="1:2" x14ac:dyDescent="0.35">
      <c r="A9854" s="32"/>
      <c r="B9854" s="32"/>
    </row>
    <row r="9855" spans="1:2" x14ac:dyDescent="0.35">
      <c r="A9855" s="32"/>
      <c r="B9855" s="32"/>
    </row>
    <row r="9856" spans="1:2" x14ac:dyDescent="0.35">
      <c r="A9856" s="32"/>
      <c r="B9856" s="32"/>
    </row>
    <row r="9857" spans="1:2" x14ac:dyDescent="0.35">
      <c r="A9857" s="32"/>
      <c r="B9857" s="32"/>
    </row>
    <row r="9858" spans="1:2" x14ac:dyDescent="0.35">
      <c r="A9858" s="32"/>
      <c r="B9858" s="32"/>
    </row>
    <row r="9859" spans="1:2" x14ac:dyDescent="0.35">
      <c r="A9859" s="32"/>
      <c r="B9859" s="32"/>
    </row>
    <row r="9860" spans="1:2" x14ac:dyDescent="0.35">
      <c r="A9860" s="32"/>
      <c r="B9860" s="32"/>
    </row>
    <row r="9861" spans="1:2" x14ac:dyDescent="0.35">
      <c r="A9861" s="32"/>
      <c r="B9861" s="32"/>
    </row>
    <row r="9862" spans="1:2" x14ac:dyDescent="0.35">
      <c r="A9862" s="32"/>
      <c r="B9862" s="32"/>
    </row>
    <row r="9863" spans="1:2" x14ac:dyDescent="0.35">
      <c r="A9863" s="32"/>
      <c r="B9863" s="32"/>
    </row>
    <row r="9864" spans="1:2" x14ac:dyDescent="0.35">
      <c r="A9864" s="32"/>
      <c r="B9864" s="32"/>
    </row>
    <row r="9865" spans="1:2" x14ac:dyDescent="0.35">
      <c r="A9865" s="32"/>
      <c r="B9865" s="32"/>
    </row>
    <row r="9866" spans="1:2" x14ac:dyDescent="0.35">
      <c r="A9866" s="32"/>
      <c r="B9866" s="32"/>
    </row>
    <row r="9867" spans="1:2" x14ac:dyDescent="0.35">
      <c r="A9867" s="32"/>
      <c r="B9867" s="32"/>
    </row>
    <row r="9868" spans="1:2" x14ac:dyDescent="0.35">
      <c r="A9868" s="32"/>
      <c r="B9868" s="32"/>
    </row>
    <row r="9869" spans="1:2" x14ac:dyDescent="0.35">
      <c r="A9869" s="32"/>
      <c r="B9869" s="32"/>
    </row>
    <row r="9870" spans="1:2" x14ac:dyDescent="0.35">
      <c r="A9870" s="32"/>
      <c r="B9870" s="32"/>
    </row>
    <row r="9871" spans="1:2" x14ac:dyDescent="0.35">
      <c r="A9871" s="32"/>
      <c r="B9871" s="32"/>
    </row>
    <row r="9872" spans="1:2" x14ac:dyDescent="0.35">
      <c r="A9872" s="32"/>
      <c r="B9872" s="32"/>
    </row>
    <row r="9873" spans="1:2" x14ac:dyDescent="0.35">
      <c r="A9873" s="32"/>
      <c r="B9873" s="32"/>
    </row>
    <row r="9874" spans="1:2" x14ac:dyDescent="0.35">
      <c r="A9874" s="32"/>
      <c r="B9874" s="32"/>
    </row>
    <row r="9875" spans="1:2" x14ac:dyDescent="0.35">
      <c r="A9875" s="32"/>
      <c r="B9875" s="32"/>
    </row>
    <row r="9876" spans="1:2" x14ac:dyDescent="0.35">
      <c r="A9876" s="32"/>
      <c r="B9876" s="32"/>
    </row>
    <row r="9877" spans="1:2" x14ac:dyDescent="0.35">
      <c r="A9877" s="32"/>
      <c r="B9877" s="32"/>
    </row>
    <row r="9878" spans="1:2" x14ac:dyDescent="0.35">
      <c r="A9878" s="32"/>
      <c r="B9878" s="32"/>
    </row>
    <row r="9879" spans="1:2" x14ac:dyDescent="0.35">
      <c r="A9879" s="32"/>
      <c r="B9879" s="32"/>
    </row>
    <row r="9880" spans="1:2" x14ac:dyDescent="0.35">
      <c r="A9880" s="32"/>
      <c r="B9880" s="32"/>
    </row>
    <row r="9881" spans="1:2" x14ac:dyDescent="0.35">
      <c r="A9881" s="32"/>
      <c r="B9881" s="32"/>
    </row>
    <row r="9882" spans="1:2" x14ac:dyDescent="0.35">
      <c r="A9882" s="32"/>
      <c r="B9882" s="32"/>
    </row>
    <row r="9883" spans="1:2" x14ac:dyDescent="0.35">
      <c r="A9883" s="32"/>
      <c r="B9883" s="32"/>
    </row>
    <row r="9884" spans="1:2" x14ac:dyDescent="0.35">
      <c r="A9884" s="32"/>
      <c r="B9884" s="32"/>
    </row>
    <row r="9885" spans="1:2" x14ac:dyDescent="0.35">
      <c r="A9885" s="32"/>
      <c r="B9885" s="32"/>
    </row>
    <row r="9886" spans="1:2" x14ac:dyDescent="0.35">
      <c r="A9886" s="32"/>
      <c r="B9886" s="32"/>
    </row>
    <row r="9887" spans="1:2" x14ac:dyDescent="0.35">
      <c r="A9887" s="32"/>
      <c r="B9887" s="32"/>
    </row>
    <row r="9888" spans="1:2" x14ac:dyDescent="0.35">
      <c r="A9888" s="32"/>
      <c r="B9888" s="32"/>
    </row>
    <row r="9889" spans="1:2" x14ac:dyDescent="0.35">
      <c r="A9889" s="32"/>
      <c r="B9889" s="32"/>
    </row>
    <row r="9890" spans="1:2" x14ac:dyDescent="0.35">
      <c r="A9890" s="32"/>
      <c r="B9890" s="32"/>
    </row>
    <row r="9891" spans="1:2" x14ac:dyDescent="0.35">
      <c r="A9891" s="32"/>
      <c r="B9891" s="32"/>
    </row>
    <row r="9892" spans="1:2" x14ac:dyDescent="0.35">
      <c r="A9892" s="32"/>
      <c r="B9892" s="32"/>
    </row>
    <row r="9893" spans="1:2" x14ac:dyDescent="0.35">
      <c r="A9893" s="32"/>
      <c r="B9893" s="32"/>
    </row>
    <row r="9894" spans="1:2" x14ac:dyDescent="0.35">
      <c r="A9894" s="32"/>
      <c r="B9894" s="32"/>
    </row>
    <row r="9895" spans="1:2" x14ac:dyDescent="0.35">
      <c r="A9895" s="32"/>
      <c r="B9895" s="32"/>
    </row>
    <row r="9896" spans="1:2" x14ac:dyDescent="0.35">
      <c r="A9896" s="32"/>
      <c r="B9896" s="32"/>
    </row>
    <row r="9897" spans="1:2" x14ac:dyDescent="0.35">
      <c r="A9897" s="32"/>
      <c r="B9897" s="32"/>
    </row>
    <row r="9898" spans="1:2" x14ac:dyDescent="0.35">
      <c r="A9898" s="32"/>
      <c r="B9898" s="32"/>
    </row>
    <row r="9899" spans="1:2" x14ac:dyDescent="0.35">
      <c r="A9899" s="32"/>
      <c r="B9899" s="32"/>
    </row>
    <row r="9900" spans="1:2" x14ac:dyDescent="0.35">
      <c r="A9900" s="32"/>
      <c r="B9900" s="32"/>
    </row>
    <row r="9901" spans="1:2" x14ac:dyDescent="0.35">
      <c r="A9901" s="32"/>
      <c r="B9901" s="32"/>
    </row>
    <row r="9902" spans="1:2" x14ac:dyDescent="0.35">
      <c r="A9902" s="32"/>
      <c r="B9902" s="32"/>
    </row>
    <row r="9903" spans="1:2" x14ac:dyDescent="0.35">
      <c r="A9903" s="32"/>
      <c r="B9903" s="32"/>
    </row>
    <row r="9904" spans="1:2" x14ac:dyDescent="0.35">
      <c r="A9904" s="32"/>
      <c r="B9904" s="32"/>
    </row>
    <row r="9905" spans="1:2" x14ac:dyDescent="0.35">
      <c r="A9905" s="32"/>
      <c r="B9905" s="32"/>
    </row>
    <row r="9906" spans="1:2" x14ac:dyDescent="0.35">
      <c r="A9906" s="32"/>
      <c r="B9906" s="32"/>
    </row>
    <row r="9907" spans="1:2" x14ac:dyDescent="0.35">
      <c r="A9907" s="32"/>
      <c r="B9907" s="32"/>
    </row>
    <row r="9908" spans="1:2" x14ac:dyDescent="0.35">
      <c r="A9908" s="32"/>
      <c r="B9908" s="32"/>
    </row>
    <row r="9909" spans="1:2" x14ac:dyDescent="0.35">
      <c r="A9909" s="32"/>
      <c r="B9909" s="32"/>
    </row>
    <row r="9910" spans="1:2" x14ac:dyDescent="0.35">
      <c r="A9910" s="32"/>
      <c r="B9910" s="32"/>
    </row>
    <row r="9911" spans="1:2" x14ac:dyDescent="0.35">
      <c r="A9911" s="32"/>
      <c r="B9911" s="32"/>
    </row>
    <row r="9912" spans="1:2" x14ac:dyDescent="0.35">
      <c r="A9912" s="32"/>
      <c r="B9912" s="32"/>
    </row>
    <row r="9913" spans="1:2" x14ac:dyDescent="0.35">
      <c r="A9913" s="32"/>
      <c r="B9913" s="32"/>
    </row>
    <row r="9914" spans="1:2" x14ac:dyDescent="0.35">
      <c r="A9914" s="32"/>
      <c r="B9914" s="32"/>
    </row>
    <row r="9915" spans="1:2" x14ac:dyDescent="0.35">
      <c r="A9915" s="32"/>
      <c r="B9915" s="32"/>
    </row>
    <row r="9916" spans="1:2" x14ac:dyDescent="0.35">
      <c r="A9916" s="32"/>
      <c r="B9916" s="32"/>
    </row>
    <row r="9917" spans="1:2" x14ac:dyDescent="0.35">
      <c r="A9917" s="32"/>
      <c r="B9917" s="32"/>
    </row>
    <row r="9918" spans="1:2" x14ac:dyDescent="0.35">
      <c r="A9918" s="32"/>
      <c r="B9918" s="32"/>
    </row>
    <row r="9919" spans="1:2" x14ac:dyDescent="0.35">
      <c r="A9919" s="32"/>
      <c r="B9919" s="32"/>
    </row>
    <row r="9920" spans="1:2" x14ac:dyDescent="0.35">
      <c r="A9920" s="32"/>
      <c r="B9920" s="32"/>
    </row>
    <row r="9921" spans="1:2" x14ac:dyDescent="0.35">
      <c r="A9921" s="32"/>
      <c r="B9921" s="32"/>
    </row>
    <row r="9922" spans="1:2" x14ac:dyDescent="0.35">
      <c r="A9922" s="32"/>
      <c r="B9922" s="32"/>
    </row>
    <row r="9923" spans="1:2" x14ac:dyDescent="0.35">
      <c r="A9923" s="32"/>
      <c r="B9923" s="32"/>
    </row>
    <row r="9924" spans="1:2" x14ac:dyDescent="0.35">
      <c r="A9924" s="32"/>
      <c r="B9924" s="32"/>
    </row>
    <row r="9925" spans="1:2" x14ac:dyDescent="0.35">
      <c r="A9925" s="32"/>
      <c r="B9925" s="32"/>
    </row>
    <row r="9926" spans="1:2" x14ac:dyDescent="0.35">
      <c r="A9926" s="32"/>
      <c r="B9926" s="32"/>
    </row>
    <row r="9927" spans="1:2" x14ac:dyDescent="0.35">
      <c r="A9927" s="32"/>
      <c r="B9927" s="32"/>
    </row>
    <row r="9928" spans="1:2" x14ac:dyDescent="0.35">
      <c r="A9928" s="32"/>
      <c r="B9928" s="32"/>
    </row>
    <row r="9929" spans="1:2" x14ac:dyDescent="0.35">
      <c r="A9929" s="32"/>
      <c r="B9929" s="32"/>
    </row>
    <row r="9930" spans="1:2" x14ac:dyDescent="0.35">
      <c r="A9930" s="32"/>
      <c r="B9930" s="32"/>
    </row>
    <row r="9931" spans="1:2" x14ac:dyDescent="0.35">
      <c r="A9931" s="32"/>
      <c r="B9931" s="32"/>
    </row>
    <row r="9932" spans="1:2" x14ac:dyDescent="0.35">
      <c r="A9932" s="32"/>
      <c r="B9932" s="32"/>
    </row>
    <row r="9933" spans="1:2" x14ac:dyDescent="0.35">
      <c r="A9933" s="32"/>
      <c r="B9933" s="32"/>
    </row>
    <row r="9934" spans="1:2" x14ac:dyDescent="0.35">
      <c r="A9934" s="32"/>
      <c r="B9934" s="32"/>
    </row>
    <row r="9935" spans="1:2" x14ac:dyDescent="0.35">
      <c r="A9935" s="32"/>
      <c r="B9935" s="32"/>
    </row>
    <row r="9936" spans="1:2" x14ac:dyDescent="0.35">
      <c r="A9936" s="32"/>
      <c r="B9936" s="32"/>
    </row>
    <row r="9937" spans="1:2" x14ac:dyDescent="0.35">
      <c r="A9937" s="32"/>
      <c r="B9937" s="32"/>
    </row>
    <row r="9938" spans="1:2" x14ac:dyDescent="0.35">
      <c r="A9938" s="32"/>
      <c r="B9938" s="32"/>
    </row>
    <row r="9939" spans="1:2" x14ac:dyDescent="0.35">
      <c r="A9939" s="32"/>
      <c r="B9939" s="32"/>
    </row>
    <row r="9940" spans="1:2" x14ac:dyDescent="0.35">
      <c r="A9940" s="32"/>
      <c r="B9940" s="32"/>
    </row>
    <row r="9941" spans="1:2" x14ac:dyDescent="0.35">
      <c r="A9941" s="32"/>
      <c r="B9941" s="32"/>
    </row>
    <row r="9942" spans="1:2" x14ac:dyDescent="0.35">
      <c r="A9942" s="32"/>
      <c r="B9942" s="32"/>
    </row>
    <row r="9943" spans="1:2" x14ac:dyDescent="0.35">
      <c r="A9943" s="32"/>
      <c r="B9943" s="32"/>
    </row>
    <row r="9944" spans="1:2" x14ac:dyDescent="0.35">
      <c r="A9944" s="32"/>
      <c r="B9944" s="32"/>
    </row>
    <row r="9945" spans="1:2" x14ac:dyDescent="0.35">
      <c r="A9945" s="32"/>
      <c r="B9945" s="32"/>
    </row>
    <row r="9946" spans="1:2" x14ac:dyDescent="0.35">
      <c r="A9946" s="32"/>
      <c r="B9946" s="32"/>
    </row>
    <row r="9947" spans="1:2" x14ac:dyDescent="0.35">
      <c r="A9947" s="32"/>
      <c r="B9947" s="32"/>
    </row>
    <row r="9948" spans="1:2" x14ac:dyDescent="0.35">
      <c r="A9948" s="32"/>
      <c r="B9948" s="32"/>
    </row>
    <row r="9949" spans="1:2" x14ac:dyDescent="0.35">
      <c r="A9949" s="32"/>
      <c r="B9949" s="32"/>
    </row>
    <row r="9950" spans="1:2" x14ac:dyDescent="0.35">
      <c r="A9950" s="32"/>
      <c r="B9950" s="32"/>
    </row>
    <row r="9951" spans="1:2" x14ac:dyDescent="0.35">
      <c r="A9951" s="32"/>
      <c r="B9951" s="32"/>
    </row>
    <row r="9952" spans="1:2" x14ac:dyDescent="0.35">
      <c r="A9952" s="32"/>
      <c r="B9952" s="32"/>
    </row>
    <row r="9953" spans="1:2" x14ac:dyDescent="0.35">
      <c r="A9953" s="32"/>
      <c r="B9953" s="32"/>
    </row>
    <row r="9954" spans="1:2" x14ac:dyDescent="0.35">
      <c r="A9954" s="32"/>
      <c r="B9954" s="32"/>
    </row>
    <row r="9955" spans="1:2" x14ac:dyDescent="0.35">
      <c r="A9955" s="32"/>
      <c r="B9955" s="32"/>
    </row>
    <row r="9956" spans="1:2" x14ac:dyDescent="0.35">
      <c r="A9956" s="32"/>
      <c r="B9956" s="32"/>
    </row>
    <row r="9957" spans="1:2" x14ac:dyDescent="0.35">
      <c r="A9957" s="32"/>
      <c r="B9957" s="32"/>
    </row>
    <row r="9958" spans="1:2" x14ac:dyDescent="0.35">
      <c r="A9958" s="32"/>
      <c r="B9958" s="32"/>
    </row>
    <row r="9959" spans="1:2" x14ac:dyDescent="0.35">
      <c r="A9959" s="32"/>
      <c r="B9959" s="32"/>
    </row>
    <row r="9960" spans="1:2" x14ac:dyDescent="0.35">
      <c r="A9960" s="32"/>
      <c r="B9960" s="32"/>
    </row>
    <row r="9961" spans="1:2" x14ac:dyDescent="0.35">
      <c r="A9961" s="32"/>
      <c r="B9961" s="32"/>
    </row>
    <row r="9962" spans="1:2" x14ac:dyDescent="0.35">
      <c r="A9962" s="32"/>
      <c r="B9962" s="32"/>
    </row>
    <row r="9963" spans="1:2" x14ac:dyDescent="0.35">
      <c r="A9963" s="32"/>
      <c r="B9963" s="32"/>
    </row>
    <row r="9964" spans="1:2" x14ac:dyDescent="0.35">
      <c r="A9964" s="32"/>
      <c r="B9964" s="32"/>
    </row>
    <row r="9965" spans="1:2" x14ac:dyDescent="0.35">
      <c r="A9965" s="32"/>
      <c r="B9965" s="32"/>
    </row>
    <row r="9966" spans="1:2" x14ac:dyDescent="0.35">
      <c r="A9966" s="32"/>
      <c r="B9966" s="32"/>
    </row>
    <row r="9967" spans="1:2" x14ac:dyDescent="0.35">
      <c r="A9967" s="32"/>
      <c r="B9967" s="32"/>
    </row>
    <row r="9968" spans="1:2" x14ac:dyDescent="0.35">
      <c r="A9968" s="32"/>
      <c r="B9968" s="32"/>
    </row>
    <row r="9969" spans="1:2" x14ac:dyDescent="0.35">
      <c r="A9969" s="32"/>
      <c r="B9969" s="32"/>
    </row>
    <row r="9970" spans="1:2" x14ac:dyDescent="0.35">
      <c r="A9970" s="32"/>
      <c r="B9970" s="32"/>
    </row>
    <row r="9971" spans="1:2" x14ac:dyDescent="0.35">
      <c r="A9971" s="32"/>
      <c r="B9971" s="32"/>
    </row>
    <row r="9972" spans="1:2" x14ac:dyDescent="0.35">
      <c r="A9972" s="32"/>
      <c r="B9972" s="32"/>
    </row>
    <row r="9973" spans="1:2" x14ac:dyDescent="0.35">
      <c r="A9973" s="32"/>
      <c r="B9973" s="32"/>
    </row>
    <row r="9974" spans="1:2" x14ac:dyDescent="0.35">
      <c r="A9974" s="32"/>
      <c r="B9974" s="32"/>
    </row>
    <row r="9975" spans="1:2" x14ac:dyDescent="0.35">
      <c r="A9975" s="32"/>
      <c r="B9975" s="32"/>
    </row>
    <row r="9976" spans="1:2" x14ac:dyDescent="0.35">
      <c r="A9976" s="32"/>
      <c r="B9976" s="32"/>
    </row>
    <row r="9977" spans="1:2" x14ac:dyDescent="0.35">
      <c r="A9977" s="32"/>
      <c r="B9977" s="32"/>
    </row>
    <row r="9978" spans="1:2" x14ac:dyDescent="0.35">
      <c r="A9978" s="32"/>
      <c r="B9978" s="32"/>
    </row>
    <row r="9979" spans="1:2" x14ac:dyDescent="0.35">
      <c r="A9979" s="32"/>
      <c r="B9979" s="32"/>
    </row>
    <row r="9980" spans="1:2" x14ac:dyDescent="0.35">
      <c r="A9980" s="32"/>
      <c r="B9980" s="32"/>
    </row>
    <row r="9981" spans="1:2" x14ac:dyDescent="0.35">
      <c r="A9981" s="32"/>
      <c r="B9981" s="32"/>
    </row>
    <row r="9982" spans="1:2" x14ac:dyDescent="0.35">
      <c r="A9982" s="32"/>
      <c r="B9982" s="32"/>
    </row>
    <row r="9983" spans="1:2" x14ac:dyDescent="0.35">
      <c r="A9983" s="32"/>
      <c r="B9983" s="32"/>
    </row>
    <row r="9984" spans="1:2" x14ac:dyDescent="0.35">
      <c r="A9984" s="32"/>
      <c r="B9984" s="32"/>
    </row>
    <row r="9985" spans="1:2" x14ac:dyDescent="0.35">
      <c r="A9985" s="32"/>
      <c r="B9985" s="32"/>
    </row>
    <row r="9986" spans="1:2" x14ac:dyDescent="0.35">
      <c r="A9986" s="32"/>
      <c r="B9986" s="32"/>
    </row>
    <row r="9987" spans="1:2" x14ac:dyDescent="0.35">
      <c r="A9987" s="32"/>
      <c r="B9987" s="32"/>
    </row>
    <row r="9988" spans="1:2" x14ac:dyDescent="0.35">
      <c r="A9988" s="32"/>
      <c r="B9988" s="32"/>
    </row>
    <row r="9989" spans="1:2" x14ac:dyDescent="0.35">
      <c r="A9989" s="32"/>
      <c r="B9989" s="32"/>
    </row>
    <row r="9990" spans="1:2" x14ac:dyDescent="0.35">
      <c r="A9990" s="32"/>
      <c r="B9990" s="32"/>
    </row>
    <row r="9991" spans="1:2" x14ac:dyDescent="0.35">
      <c r="A9991" s="32"/>
      <c r="B9991" s="32"/>
    </row>
    <row r="9992" spans="1:2" x14ac:dyDescent="0.35">
      <c r="A9992" s="32"/>
      <c r="B9992" s="32"/>
    </row>
    <row r="9993" spans="1:2" x14ac:dyDescent="0.35">
      <c r="A9993" s="32"/>
      <c r="B9993" s="32"/>
    </row>
    <row r="9994" spans="1:2" x14ac:dyDescent="0.35">
      <c r="A9994" s="32"/>
      <c r="B9994" s="32"/>
    </row>
    <row r="9995" spans="1:2" x14ac:dyDescent="0.35">
      <c r="A9995" s="32"/>
      <c r="B9995" s="32"/>
    </row>
    <row r="9996" spans="1:2" x14ac:dyDescent="0.35">
      <c r="A9996" s="32"/>
      <c r="B9996" s="32"/>
    </row>
    <row r="9997" spans="1:2" x14ac:dyDescent="0.35">
      <c r="A9997" s="32"/>
      <c r="B9997" s="32"/>
    </row>
    <row r="9998" spans="1:2" x14ac:dyDescent="0.35">
      <c r="A9998" s="32"/>
      <c r="B9998" s="32"/>
    </row>
    <row r="9999" spans="1:2" x14ac:dyDescent="0.35">
      <c r="A9999" s="32"/>
      <c r="B9999" s="32"/>
    </row>
    <row r="10000" spans="1:2" x14ac:dyDescent="0.35">
      <c r="A10000" s="32"/>
      <c r="B10000" s="32"/>
    </row>
    <row r="10001" spans="1:2" x14ac:dyDescent="0.35">
      <c r="A10001" s="32"/>
      <c r="B10001" s="32"/>
    </row>
    <row r="10002" spans="1:2" x14ac:dyDescent="0.35">
      <c r="A10002" s="32"/>
      <c r="B10002" s="32"/>
    </row>
    <row r="10003" spans="1:2" x14ac:dyDescent="0.35">
      <c r="A10003" s="32"/>
      <c r="B10003" s="32"/>
    </row>
    <row r="10004" spans="1:2" x14ac:dyDescent="0.35">
      <c r="A10004" s="32"/>
      <c r="B10004" s="32"/>
    </row>
    <row r="10005" spans="1:2" x14ac:dyDescent="0.35">
      <c r="A10005" s="32"/>
      <c r="B10005" s="32"/>
    </row>
    <row r="10006" spans="1:2" x14ac:dyDescent="0.35">
      <c r="A10006" s="32"/>
      <c r="B10006" s="32"/>
    </row>
    <row r="10007" spans="1:2" x14ac:dyDescent="0.35">
      <c r="A10007" s="32"/>
      <c r="B10007" s="32"/>
    </row>
    <row r="10008" spans="1:2" x14ac:dyDescent="0.35">
      <c r="A10008" s="32"/>
      <c r="B10008" s="32"/>
    </row>
    <row r="10009" spans="1:2" x14ac:dyDescent="0.35">
      <c r="A10009" s="32"/>
      <c r="B10009" s="32"/>
    </row>
    <row r="10010" spans="1:2" x14ac:dyDescent="0.35">
      <c r="A10010" s="32"/>
      <c r="B10010" s="32"/>
    </row>
    <row r="10011" spans="1:2" x14ac:dyDescent="0.35">
      <c r="A10011" s="32"/>
      <c r="B10011" s="32"/>
    </row>
    <row r="10012" spans="1:2" x14ac:dyDescent="0.35">
      <c r="A10012" s="32"/>
      <c r="B10012" s="32"/>
    </row>
    <row r="10013" spans="1:2" x14ac:dyDescent="0.35">
      <c r="A10013" s="32"/>
      <c r="B10013" s="32"/>
    </row>
    <row r="10014" spans="1:2" x14ac:dyDescent="0.35">
      <c r="A10014" s="32"/>
      <c r="B10014" s="32"/>
    </row>
    <row r="10015" spans="1:2" x14ac:dyDescent="0.35">
      <c r="A10015" s="32"/>
      <c r="B10015" s="32"/>
    </row>
    <row r="10016" spans="1:2" x14ac:dyDescent="0.35">
      <c r="A10016" s="32"/>
      <c r="B10016" s="32"/>
    </row>
    <row r="10017" spans="1:2" x14ac:dyDescent="0.35">
      <c r="A10017" s="32"/>
      <c r="B10017" s="32"/>
    </row>
    <row r="10018" spans="1:2" x14ac:dyDescent="0.35">
      <c r="A10018" s="32"/>
      <c r="B10018" s="32"/>
    </row>
    <row r="10019" spans="1:2" x14ac:dyDescent="0.35">
      <c r="A10019" s="32"/>
      <c r="B10019" s="32"/>
    </row>
    <row r="10020" spans="1:2" x14ac:dyDescent="0.35">
      <c r="A10020" s="32"/>
      <c r="B10020" s="32"/>
    </row>
    <row r="10021" spans="1:2" x14ac:dyDescent="0.35">
      <c r="A10021" s="32"/>
      <c r="B10021" s="32"/>
    </row>
    <row r="10022" spans="1:2" x14ac:dyDescent="0.35">
      <c r="A10022" s="32"/>
      <c r="B10022" s="32"/>
    </row>
    <row r="10023" spans="1:2" x14ac:dyDescent="0.35">
      <c r="A10023" s="32"/>
      <c r="B10023" s="32"/>
    </row>
    <row r="10024" spans="1:2" x14ac:dyDescent="0.35">
      <c r="A10024" s="32"/>
      <c r="B10024" s="32"/>
    </row>
    <row r="10025" spans="1:2" x14ac:dyDescent="0.35">
      <c r="A10025" s="32"/>
      <c r="B10025" s="32"/>
    </row>
    <row r="10026" spans="1:2" x14ac:dyDescent="0.35">
      <c r="A10026" s="32"/>
      <c r="B10026" s="32"/>
    </row>
    <row r="10027" spans="1:2" x14ac:dyDescent="0.35">
      <c r="A10027" s="32"/>
      <c r="B10027" s="32"/>
    </row>
    <row r="10028" spans="1:2" x14ac:dyDescent="0.35">
      <c r="A10028" s="32"/>
      <c r="B10028" s="32"/>
    </row>
    <row r="10029" spans="1:2" x14ac:dyDescent="0.35">
      <c r="A10029" s="32"/>
      <c r="B10029" s="32"/>
    </row>
    <row r="10030" spans="1:2" x14ac:dyDescent="0.35">
      <c r="A10030" s="32"/>
      <c r="B10030" s="32"/>
    </row>
    <row r="10031" spans="1:2" x14ac:dyDescent="0.35">
      <c r="A10031" s="32"/>
      <c r="B10031" s="32"/>
    </row>
    <row r="10032" spans="1:2" x14ac:dyDescent="0.35">
      <c r="A10032" s="32"/>
      <c r="B10032" s="32"/>
    </row>
    <row r="10033" spans="1:2" x14ac:dyDescent="0.35">
      <c r="A10033" s="32"/>
      <c r="B10033" s="32"/>
    </row>
    <row r="10034" spans="1:2" x14ac:dyDescent="0.35">
      <c r="A10034" s="32"/>
      <c r="B10034" s="32"/>
    </row>
    <row r="10035" spans="1:2" x14ac:dyDescent="0.35">
      <c r="A10035" s="32"/>
      <c r="B10035" s="32"/>
    </row>
    <row r="10036" spans="1:2" x14ac:dyDescent="0.35">
      <c r="A10036" s="32"/>
      <c r="B10036" s="32"/>
    </row>
    <row r="10037" spans="1:2" x14ac:dyDescent="0.35">
      <c r="A10037" s="32"/>
      <c r="B10037" s="32"/>
    </row>
    <row r="10038" spans="1:2" x14ac:dyDescent="0.35">
      <c r="A10038" s="32"/>
      <c r="B10038" s="32"/>
    </row>
    <row r="10039" spans="1:2" x14ac:dyDescent="0.35">
      <c r="A10039" s="32"/>
      <c r="B10039" s="32"/>
    </row>
    <row r="10040" spans="1:2" x14ac:dyDescent="0.35">
      <c r="A10040" s="32"/>
      <c r="B10040" s="32"/>
    </row>
    <row r="10041" spans="1:2" x14ac:dyDescent="0.35">
      <c r="A10041" s="32"/>
      <c r="B10041" s="32"/>
    </row>
    <row r="10042" spans="1:2" x14ac:dyDescent="0.35">
      <c r="A10042" s="32"/>
      <c r="B10042" s="32"/>
    </row>
    <row r="10043" spans="1:2" x14ac:dyDescent="0.35">
      <c r="A10043" s="32"/>
      <c r="B10043" s="32"/>
    </row>
    <row r="10044" spans="1:2" x14ac:dyDescent="0.35">
      <c r="A10044" s="32"/>
      <c r="B10044" s="32"/>
    </row>
    <row r="10045" spans="1:2" x14ac:dyDescent="0.35">
      <c r="A10045" s="32"/>
      <c r="B10045" s="32"/>
    </row>
    <row r="10046" spans="1:2" x14ac:dyDescent="0.35">
      <c r="A10046" s="32"/>
      <c r="B10046" s="32"/>
    </row>
    <row r="10047" spans="1:2" x14ac:dyDescent="0.35">
      <c r="A10047" s="32"/>
      <c r="B10047" s="32"/>
    </row>
    <row r="10048" spans="1:2" x14ac:dyDescent="0.35">
      <c r="A10048" s="32"/>
      <c r="B10048" s="32"/>
    </row>
    <row r="10049" spans="1:2" x14ac:dyDescent="0.35">
      <c r="A10049" s="32"/>
      <c r="B10049" s="32"/>
    </row>
    <row r="10050" spans="1:2" x14ac:dyDescent="0.35">
      <c r="A10050" s="32"/>
      <c r="B10050" s="32"/>
    </row>
    <row r="10051" spans="1:2" x14ac:dyDescent="0.35">
      <c r="A10051" s="32"/>
      <c r="B10051" s="32"/>
    </row>
    <row r="10052" spans="1:2" x14ac:dyDescent="0.35">
      <c r="A10052" s="32"/>
      <c r="B10052" s="32"/>
    </row>
    <row r="10053" spans="1:2" x14ac:dyDescent="0.35">
      <c r="A10053" s="32"/>
      <c r="B10053" s="32"/>
    </row>
    <row r="10054" spans="1:2" x14ac:dyDescent="0.35">
      <c r="A10054" s="32"/>
      <c r="B10054" s="32"/>
    </row>
    <row r="10055" spans="1:2" x14ac:dyDescent="0.35">
      <c r="A10055" s="32"/>
      <c r="B10055" s="32"/>
    </row>
    <row r="10056" spans="1:2" x14ac:dyDescent="0.35">
      <c r="A10056" s="32"/>
      <c r="B10056" s="32"/>
    </row>
    <row r="10057" spans="1:2" x14ac:dyDescent="0.35">
      <c r="A10057" s="32"/>
      <c r="B10057" s="32"/>
    </row>
    <row r="10058" spans="1:2" x14ac:dyDescent="0.35">
      <c r="A10058" s="32"/>
      <c r="B10058" s="32"/>
    </row>
    <row r="10059" spans="1:2" x14ac:dyDescent="0.35">
      <c r="A10059" s="32"/>
      <c r="B10059" s="32"/>
    </row>
    <row r="10060" spans="1:2" x14ac:dyDescent="0.35">
      <c r="A10060" s="32"/>
      <c r="B10060" s="32"/>
    </row>
    <row r="10061" spans="1:2" x14ac:dyDescent="0.35">
      <c r="A10061" s="32"/>
      <c r="B10061" s="32"/>
    </row>
    <row r="10062" spans="1:2" x14ac:dyDescent="0.35">
      <c r="A10062" s="32"/>
      <c r="B10062" s="32"/>
    </row>
    <row r="10063" spans="1:2" x14ac:dyDescent="0.35">
      <c r="A10063" s="32"/>
      <c r="B10063" s="32"/>
    </row>
    <row r="10064" spans="1:2" x14ac:dyDescent="0.35">
      <c r="A10064" s="32"/>
      <c r="B10064" s="32"/>
    </row>
    <row r="10065" spans="1:2" x14ac:dyDescent="0.35">
      <c r="A10065" s="32"/>
      <c r="B10065" s="32"/>
    </row>
    <row r="10066" spans="1:2" x14ac:dyDescent="0.35">
      <c r="A10066" s="32"/>
      <c r="B10066" s="32"/>
    </row>
    <row r="10067" spans="1:2" x14ac:dyDescent="0.35">
      <c r="A10067" s="32"/>
      <c r="B10067" s="32"/>
    </row>
    <row r="10068" spans="1:2" x14ac:dyDescent="0.35">
      <c r="A10068" s="32"/>
      <c r="B10068" s="32"/>
    </row>
    <row r="10069" spans="1:2" x14ac:dyDescent="0.35">
      <c r="A10069" s="32"/>
      <c r="B10069" s="32"/>
    </row>
    <row r="10070" spans="1:2" x14ac:dyDescent="0.35">
      <c r="A10070" s="32"/>
      <c r="B10070" s="32"/>
    </row>
    <row r="10071" spans="1:2" x14ac:dyDescent="0.35">
      <c r="A10071" s="32"/>
      <c r="B10071" s="32"/>
    </row>
    <row r="10072" spans="1:2" x14ac:dyDescent="0.35">
      <c r="A10072" s="32"/>
      <c r="B10072" s="32"/>
    </row>
    <row r="10073" spans="1:2" x14ac:dyDescent="0.35">
      <c r="A10073" s="32"/>
      <c r="B10073" s="32"/>
    </row>
    <row r="10074" spans="1:2" x14ac:dyDescent="0.35">
      <c r="A10074" s="32"/>
      <c r="B10074" s="32"/>
    </row>
    <row r="10075" spans="1:2" x14ac:dyDescent="0.35">
      <c r="A10075" s="32"/>
      <c r="B10075" s="32"/>
    </row>
    <row r="10076" spans="1:2" x14ac:dyDescent="0.35">
      <c r="A10076" s="32"/>
      <c r="B10076" s="32"/>
    </row>
    <row r="10077" spans="1:2" x14ac:dyDescent="0.35">
      <c r="A10077" s="32"/>
      <c r="B10077" s="32"/>
    </row>
    <row r="10078" spans="1:2" x14ac:dyDescent="0.35">
      <c r="A10078" s="32"/>
      <c r="B10078" s="32"/>
    </row>
    <row r="10079" spans="1:2" x14ac:dyDescent="0.35">
      <c r="A10079" s="32"/>
      <c r="B10079" s="32"/>
    </row>
    <row r="10080" spans="1:2" x14ac:dyDescent="0.35">
      <c r="A10080" s="32"/>
      <c r="B10080" s="32"/>
    </row>
    <row r="10081" spans="1:2" x14ac:dyDescent="0.35">
      <c r="A10081" s="32"/>
      <c r="B10081" s="32"/>
    </row>
    <row r="10082" spans="1:2" x14ac:dyDescent="0.35">
      <c r="A10082" s="32"/>
      <c r="B10082" s="32"/>
    </row>
    <row r="10083" spans="1:2" x14ac:dyDescent="0.35">
      <c r="A10083" s="32"/>
      <c r="B10083" s="32"/>
    </row>
    <row r="10084" spans="1:2" x14ac:dyDescent="0.35">
      <c r="A10084" s="32"/>
      <c r="B10084" s="32"/>
    </row>
    <row r="10085" spans="1:2" x14ac:dyDescent="0.35">
      <c r="A10085" s="32"/>
      <c r="B10085" s="32"/>
    </row>
    <row r="10086" spans="1:2" x14ac:dyDescent="0.35">
      <c r="A10086" s="32"/>
      <c r="B10086" s="32"/>
    </row>
    <row r="10087" spans="1:2" x14ac:dyDescent="0.35">
      <c r="A10087" s="32"/>
      <c r="B10087" s="32"/>
    </row>
    <row r="10088" spans="1:2" x14ac:dyDescent="0.35">
      <c r="A10088" s="32"/>
      <c r="B10088" s="32"/>
    </row>
    <row r="10089" spans="1:2" x14ac:dyDescent="0.35">
      <c r="A10089" s="32"/>
      <c r="B10089" s="32"/>
    </row>
    <row r="10090" spans="1:2" x14ac:dyDescent="0.35">
      <c r="A10090" s="32"/>
      <c r="B10090" s="32"/>
    </row>
    <row r="10091" spans="1:2" x14ac:dyDescent="0.35">
      <c r="A10091" s="32"/>
      <c r="B10091" s="32"/>
    </row>
    <row r="10092" spans="1:2" x14ac:dyDescent="0.35">
      <c r="A10092" s="32"/>
      <c r="B10092" s="32"/>
    </row>
    <row r="10093" spans="1:2" x14ac:dyDescent="0.35">
      <c r="A10093" s="32"/>
      <c r="B10093" s="32"/>
    </row>
    <row r="10094" spans="1:2" x14ac:dyDescent="0.35">
      <c r="A10094" s="32"/>
      <c r="B10094" s="32"/>
    </row>
    <row r="10095" spans="1:2" x14ac:dyDescent="0.35">
      <c r="A10095" s="32"/>
      <c r="B10095" s="32"/>
    </row>
    <row r="10096" spans="1:2" x14ac:dyDescent="0.35">
      <c r="A10096" s="32"/>
      <c r="B10096" s="32"/>
    </row>
    <row r="10097" spans="1:2" x14ac:dyDescent="0.35">
      <c r="A10097" s="32"/>
      <c r="B10097" s="32"/>
    </row>
    <row r="10098" spans="1:2" x14ac:dyDescent="0.35">
      <c r="A10098" s="32"/>
      <c r="B10098" s="32"/>
    </row>
    <row r="10099" spans="1:2" x14ac:dyDescent="0.35">
      <c r="A10099" s="32"/>
      <c r="B10099" s="32"/>
    </row>
    <row r="10100" spans="1:2" x14ac:dyDescent="0.35">
      <c r="A10100" s="32"/>
      <c r="B10100" s="32"/>
    </row>
    <row r="10101" spans="1:2" x14ac:dyDescent="0.35">
      <c r="A10101" s="32"/>
      <c r="B10101" s="32"/>
    </row>
    <row r="10102" spans="1:2" x14ac:dyDescent="0.35">
      <c r="A10102" s="32"/>
      <c r="B10102" s="32"/>
    </row>
    <row r="10103" spans="1:2" x14ac:dyDescent="0.35">
      <c r="A10103" s="32"/>
      <c r="B10103" s="32"/>
    </row>
    <row r="10104" spans="1:2" x14ac:dyDescent="0.35">
      <c r="A10104" s="32"/>
      <c r="B10104" s="32"/>
    </row>
    <row r="10105" spans="1:2" x14ac:dyDescent="0.35">
      <c r="A10105" s="32"/>
      <c r="B10105" s="32"/>
    </row>
    <row r="10106" spans="1:2" x14ac:dyDescent="0.35">
      <c r="A10106" s="32"/>
      <c r="B10106" s="32"/>
    </row>
    <row r="10107" spans="1:2" x14ac:dyDescent="0.35">
      <c r="A10107" s="32"/>
      <c r="B10107" s="32"/>
    </row>
    <row r="10108" spans="1:2" x14ac:dyDescent="0.35">
      <c r="A10108" s="32"/>
      <c r="B10108" s="32"/>
    </row>
    <row r="10109" spans="1:2" x14ac:dyDescent="0.35">
      <c r="A10109" s="32"/>
      <c r="B10109" s="32"/>
    </row>
    <row r="10110" spans="1:2" x14ac:dyDescent="0.35">
      <c r="A10110" s="32"/>
      <c r="B10110" s="32"/>
    </row>
    <row r="10111" spans="1:2" x14ac:dyDescent="0.35">
      <c r="A10111" s="32"/>
      <c r="B10111" s="32"/>
    </row>
    <row r="10112" spans="1:2" x14ac:dyDescent="0.35">
      <c r="A10112" s="32"/>
      <c r="B10112" s="32"/>
    </row>
    <row r="10113" spans="1:2" x14ac:dyDescent="0.35">
      <c r="A10113" s="32"/>
      <c r="B10113" s="32"/>
    </row>
    <row r="10114" spans="1:2" x14ac:dyDescent="0.35">
      <c r="A10114" s="32"/>
      <c r="B10114" s="32"/>
    </row>
    <row r="10115" spans="1:2" x14ac:dyDescent="0.35">
      <c r="A10115" s="32"/>
      <c r="B10115" s="32"/>
    </row>
    <row r="10116" spans="1:2" x14ac:dyDescent="0.35">
      <c r="A10116" s="32"/>
      <c r="B10116" s="32"/>
    </row>
    <row r="10117" spans="1:2" x14ac:dyDescent="0.35">
      <c r="A10117" s="32"/>
      <c r="B10117" s="32"/>
    </row>
    <row r="10118" spans="1:2" x14ac:dyDescent="0.35">
      <c r="A10118" s="32"/>
      <c r="B10118" s="32"/>
    </row>
    <row r="10119" spans="1:2" x14ac:dyDescent="0.35">
      <c r="A10119" s="32"/>
      <c r="B10119" s="32"/>
    </row>
    <row r="10120" spans="1:2" x14ac:dyDescent="0.35">
      <c r="A10120" s="32"/>
      <c r="B10120" s="32"/>
    </row>
    <row r="10121" spans="1:2" x14ac:dyDescent="0.35">
      <c r="A10121" s="32"/>
      <c r="B10121" s="32"/>
    </row>
    <row r="10122" spans="1:2" x14ac:dyDescent="0.35">
      <c r="A10122" s="32"/>
      <c r="B10122" s="32"/>
    </row>
    <row r="10123" spans="1:2" x14ac:dyDescent="0.35">
      <c r="A10123" s="32"/>
      <c r="B10123" s="32"/>
    </row>
    <row r="10124" spans="1:2" x14ac:dyDescent="0.35">
      <c r="A10124" s="32"/>
      <c r="B10124" s="32"/>
    </row>
    <row r="10125" spans="1:2" x14ac:dyDescent="0.35">
      <c r="A10125" s="32"/>
      <c r="B10125" s="32"/>
    </row>
    <row r="10126" spans="1:2" x14ac:dyDescent="0.35">
      <c r="A10126" s="32"/>
      <c r="B10126" s="32"/>
    </row>
    <row r="10127" spans="1:2" x14ac:dyDescent="0.35">
      <c r="A10127" s="32"/>
      <c r="B10127" s="32"/>
    </row>
    <row r="10128" spans="1:2" x14ac:dyDescent="0.35">
      <c r="A10128" s="32"/>
      <c r="B10128" s="32"/>
    </row>
    <row r="10129" spans="1:2" x14ac:dyDescent="0.35">
      <c r="A10129" s="32"/>
      <c r="B10129" s="32"/>
    </row>
    <row r="10130" spans="1:2" x14ac:dyDescent="0.35">
      <c r="A10130" s="32"/>
      <c r="B10130" s="32"/>
    </row>
    <row r="10131" spans="1:2" x14ac:dyDescent="0.35">
      <c r="A10131" s="32"/>
      <c r="B10131" s="32"/>
    </row>
    <row r="10132" spans="1:2" x14ac:dyDescent="0.35">
      <c r="A10132" s="32"/>
      <c r="B10132" s="32"/>
    </row>
    <row r="10133" spans="1:2" x14ac:dyDescent="0.35">
      <c r="A10133" s="32"/>
      <c r="B10133" s="32"/>
    </row>
    <row r="10134" spans="1:2" x14ac:dyDescent="0.35">
      <c r="A10134" s="32"/>
      <c r="B10134" s="32"/>
    </row>
    <row r="10135" spans="1:2" x14ac:dyDescent="0.35">
      <c r="A10135" s="32"/>
      <c r="B10135" s="32"/>
    </row>
    <row r="10136" spans="1:2" x14ac:dyDescent="0.35">
      <c r="A10136" s="32"/>
      <c r="B10136" s="32"/>
    </row>
    <row r="10137" spans="1:2" x14ac:dyDescent="0.35">
      <c r="A10137" s="32"/>
      <c r="B10137" s="32"/>
    </row>
    <row r="10138" spans="1:2" x14ac:dyDescent="0.35">
      <c r="A10138" s="32"/>
      <c r="B10138" s="32"/>
    </row>
    <row r="10139" spans="1:2" x14ac:dyDescent="0.35">
      <c r="A10139" s="32"/>
      <c r="B10139" s="32"/>
    </row>
    <row r="10140" spans="1:2" x14ac:dyDescent="0.35">
      <c r="A10140" s="32"/>
      <c r="B10140" s="32"/>
    </row>
    <row r="10141" spans="1:2" x14ac:dyDescent="0.35">
      <c r="A10141" s="32"/>
      <c r="B10141" s="32"/>
    </row>
    <row r="10142" spans="1:2" x14ac:dyDescent="0.35">
      <c r="A10142" s="32"/>
      <c r="B10142" s="32"/>
    </row>
    <row r="10143" spans="1:2" x14ac:dyDescent="0.35">
      <c r="A10143" s="32"/>
      <c r="B10143" s="32"/>
    </row>
    <row r="10144" spans="1:2" x14ac:dyDescent="0.35">
      <c r="A10144" s="32"/>
      <c r="B10144" s="32"/>
    </row>
    <row r="10145" spans="1:2" x14ac:dyDescent="0.35">
      <c r="A10145" s="32"/>
      <c r="B10145" s="32"/>
    </row>
    <row r="10146" spans="1:2" x14ac:dyDescent="0.35">
      <c r="A10146" s="32"/>
      <c r="B10146" s="32"/>
    </row>
    <row r="10147" spans="1:2" x14ac:dyDescent="0.35">
      <c r="A10147" s="32"/>
      <c r="B10147" s="32"/>
    </row>
    <row r="10148" spans="1:2" x14ac:dyDescent="0.35">
      <c r="A10148" s="32"/>
      <c r="B10148" s="32"/>
    </row>
    <row r="10149" spans="1:2" x14ac:dyDescent="0.35">
      <c r="A10149" s="32"/>
      <c r="B10149" s="32"/>
    </row>
    <row r="10150" spans="1:2" x14ac:dyDescent="0.35">
      <c r="A10150" s="32"/>
      <c r="B10150" s="32"/>
    </row>
    <row r="10151" spans="1:2" x14ac:dyDescent="0.35">
      <c r="A10151" s="32"/>
      <c r="B10151" s="32"/>
    </row>
    <row r="10152" spans="1:2" x14ac:dyDescent="0.35">
      <c r="A10152" s="32"/>
      <c r="B10152" s="32"/>
    </row>
    <row r="10153" spans="1:2" x14ac:dyDescent="0.35">
      <c r="A10153" s="32"/>
      <c r="B10153" s="32"/>
    </row>
    <row r="10154" spans="1:2" x14ac:dyDescent="0.35">
      <c r="A10154" s="32"/>
      <c r="B10154" s="32"/>
    </row>
    <row r="10155" spans="1:2" x14ac:dyDescent="0.35">
      <c r="A10155" s="32"/>
      <c r="B10155" s="32"/>
    </row>
    <row r="10156" spans="1:2" x14ac:dyDescent="0.35">
      <c r="A10156" s="32"/>
      <c r="B10156" s="32"/>
    </row>
    <row r="10157" spans="1:2" x14ac:dyDescent="0.35">
      <c r="A10157" s="32"/>
      <c r="B10157" s="32"/>
    </row>
    <row r="10158" spans="1:2" x14ac:dyDescent="0.35">
      <c r="A10158" s="32"/>
      <c r="B10158" s="32"/>
    </row>
    <row r="10159" spans="1:2" x14ac:dyDescent="0.35">
      <c r="A10159" s="32"/>
      <c r="B10159" s="32"/>
    </row>
    <row r="10160" spans="1:2" x14ac:dyDescent="0.35">
      <c r="A10160" s="32"/>
      <c r="B10160" s="32"/>
    </row>
    <row r="10161" spans="1:2" x14ac:dyDescent="0.35">
      <c r="A10161" s="32"/>
      <c r="B10161" s="32"/>
    </row>
    <row r="10162" spans="1:2" x14ac:dyDescent="0.35">
      <c r="A10162" s="32"/>
      <c r="B10162" s="32"/>
    </row>
    <row r="10163" spans="1:2" x14ac:dyDescent="0.35">
      <c r="A10163" s="32"/>
      <c r="B10163" s="32"/>
    </row>
    <row r="10164" spans="1:2" x14ac:dyDescent="0.35">
      <c r="A10164" s="32"/>
      <c r="B10164" s="32"/>
    </row>
    <row r="10165" spans="1:2" x14ac:dyDescent="0.35">
      <c r="A10165" s="32"/>
      <c r="B10165" s="32"/>
    </row>
    <row r="10166" spans="1:2" x14ac:dyDescent="0.35">
      <c r="A10166" s="32"/>
      <c r="B10166" s="32"/>
    </row>
    <row r="10167" spans="1:2" x14ac:dyDescent="0.35">
      <c r="A10167" s="32"/>
      <c r="B10167" s="32"/>
    </row>
    <row r="10168" spans="1:2" x14ac:dyDescent="0.35">
      <c r="A10168" s="32"/>
      <c r="B10168" s="32"/>
    </row>
    <row r="10169" spans="1:2" x14ac:dyDescent="0.35">
      <c r="A10169" s="32"/>
      <c r="B10169" s="32"/>
    </row>
    <row r="10170" spans="1:2" x14ac:dyDescent="0.35">
      <c r="A10170" s="32"/>
      <c r="B10170" s="32"/>
    </row>
    <row r="10171" spans="1:2" x14ac:dyDescent="0.35">
      <c r="A10171" s="32"/>
      <c r="B10171" s="32"/>
    </row>
    <row r="10172" spans="1:2" x14ac:dyDescent="0.35">
      <c r="A10172" s="32"/>
      <c r="B10172" s="32"/>
    </row>
    <row r="10173" spans="1:2" x14ac:dyDescent="0.35">
      <c r="A10173" s="32"/>
      <c r="B10173" s="32"/>
    </row>
    <row r="10174" spans="1:2" x14ac:dyDescent="0.35">
      <c r="A10174" s="32"/>
      <c r="B10174" s="32"/>
    </row>
    <row r="10175" spans="1:2" x14ac:dyDescent="0.35">
      <c r="A10175" s="32"/>
      <c r="B10175" s="32"/>
    </row>
    <row r="10176" spans="1:2" x14ac:dyDescent="0.35">
      <c r="A10176" s="32"/>
      <c r="B10176" s="32"/>
    </row>
    <row r="10177" spans="1:2" x14ac:dyDescent="0.35">
      <c r="A10177" s="32"/>
      <c r="B10177" s="32"/>
    </row>
    <row r="10178" spans="1:2" x14ac:dyDescent="0.35">
      <c r="A10178" s="32"/>
      <c r="B10178" s="32"/>
    </row>
    <row r="10179" spans="1:2" x14ac:dyDescent="0.35">
      <c r="A10179" s="32"/>
      <c r="B10179" s="32"/>
    </row>
    <row r="10180" spans="1:2" x14ac:dyDescent="0.35">
      <c r="A10180" s="32"/>
      <c r="B10180" s="32"/>
    </row>
    <row r="10181" spans="1:2" x14ac:dyDescent="0.35">
      <c r="A10181" s="32"/>
      <c r="B10181" s="32"/>
    </row>
    <row r="10182" spans="1:2" x14ac:dyDescent="0.35">
      <c r="A10182" s="32"/>
      <c r="B10182" s="32"/>
    </row>
    <row r="10183" spans="1:2" x14ac:dyDescent="0.35">
      <c r="A10183" s="32"/>
      <c r="B10183" s="32"/>
    </row>
    <row r="10184" spans="1:2" x14ac:dyDescent="0.35">
      <c r="A10184" s="32"/>
      <c r="B10184" s="32"/>
    </row>
    <row r="10185" spans="1:2" x14ac:dyDescent="0.35">
      <c r="A10185" s="32"/>
      <c r="B10185" s="32"/>
    </row>
    <row r="10186" spans="1:2" x14ac:dyDescent="0.35">
      <c r="A10186" s="32"/>
      <c r="B10186" s="32"/>
    </row>
    <row r="10187" spans="1:2" x14ac:dyDescent="0.35">
      <c r="A10187" s="32"/>
      <c r="B10187" s="32"/>
    </row>
    <row r="10188" spans="1:2" x14ac:dyDescent="0.35">
      <c r="A10188" s="32"/>
      <c r="B10188" s="32"/>
    </row>
    <row r="10189" spans="1:2" x14ac:dyDescent="0.35">
      <c r="A10189" s="32"/>
      <c r="B10189" s="32"/>
    </row>
    <row r="10190" spans="1:2" x14ac:dyDescent="0.35">
      <c r="A10190" s="32"/>
      <c r="B10190" s="32"/>
    </row>
    <row r="10191" spans="1:2" x14ac:dyDescent="0.35">
      <c r="A10191" s="32"/>
      <c r="B10191" s="32"/>
    </row>
    <row r="10192" spans="1:2" x14ac:dyDescent="0.35">
      <c r="A10192" s="32"/>
      <c r="B10192" s="32"/>
    </row>
    <row r="10193" spans="1:2" x14ac:dyDescent="0.35">
      <c r="A10193" s="32"/>
      <c r="B10193" s="32"/>
    </row>
    <row r="10194" spans="1:2" x14ac:dyDescent="0.35">
      <c r="A10194" s="32"/>
      <c r="B10194" s="32"/>
    </row>
    <row r="10195" spans="1:2" x14ac:dyDescent="0.35">
      <c r="A10195" s="32"/>
      <c r="B10195" s="32"/>
    </row>
    <row r="10196" spans="1:2" x14ac:dyDescent="0.35">
      <c r="A10196" s="32"/>
      <c r="B10196" s="32"/>
    </row>
    <row r="10197" spans="1:2" x14ac:dyDescent="0.35">
      <c r="A10197" s="32"/>
      <c r="B10197" s="32"/>
    </row>
    <row r="10198" spans="1:2" x14ac:dyDescent="0.35">
      <c r="A10198" s="32"/>
      <c r="B10198" s="32"/>
    </row>
    <row r="10199" spans="1:2" x14ac:dyDescent="0.35">
      <c r="A10199" s="32"/>
      <c r="B10199" s="32"/>
    </row>
    <row r="10200" spans="1:2" x14ac:dyDescent="0.35">
      <c r="A10200" s="32"/>
      <c r="B10200" s="32"/>
    </row>
    <row r="10201" spans="1:2" x14ac:dyDescent="0.35">
      <c r="A10201" s="32"/>
      <c r="B10201" s="32"/>
    </row>
    <row r="10202" spans="1:2" x14ac:dyDescent="0.35">
      <c r="A10202" s="32"/>
      <c r="B10202" s="32"/>
    </row>
    <row r="10203" spans="1:2" x14ac:dyDescent="0.35">
      <c r="A10203" s="32"/>
      <c r="B10203" s="32"/>
    </row>
    <row r="10204" spans="1:2" x14ac:dyDescent="0.35">
      <c r="A10204" s="32"/>
      <c r="B10204" s="32"/>
    </row>
    <row r="10205" spans="1:2" x14ac:dyDescent="0.35">
      <c r="A10205" s="32"/>
      <c r="B10205" s="32"/>
    </row>
    <row r="10206" spans="1:2" x14ac:dyDescent="0.35">
      <c r="A10206" s="32"/>
      <c r="B10206" s="32"/>
    </row>
    <row r="10207" spans="1:2" x14ac:dyDescent="0.35">
      <c r="A10207" s="32"/>
      <c r="B10207" s="32"/>
    </row>
    <row r="10208" spans="1:2" x14ac:dyDescent="0.35">
      <c r="A10208" s="32"/>
      <c r="B10208" s="32"/>
    </row>
    <row r="10209" spans="1:2" x14ac:dyDescent="0.35">
      <c r="A10209" s="32"/>
      <c r="B10209" s="32"/>
    </row>
    <row r="10210" spans="1:2" x14ac:dyDescent="0.35">
      <c r="A10210" s="32"/>
      <c r="B10210" s="32"/>
    </row>
    <row r="10211" spans="1:2" x14ac:dyDescent="0.35">
      <c r="A10211" s="32"/>
      <c r="B10211" s="32"/>
    </row>
    <row r="10212" spans="1:2" x14ac:dyDescent="0.35">
      <c r="A10212" s="32"/>
      <c r="B10212" s="32"/>
    </row>
    <row r="10213" spans="1:2" x14ac:dyDescent="0.35">
      <c r="A10213" s="32"/>
      <c r="B10213" s="32"/>
    </row>
    <row r="10214" spans="1:2" x14ac:dyDescent="0.35">
      <c r="A10214" s="32"/>
      <c r="B10214" s="32"/>
    </row>
    <row r="10215" spans="1:2" x14ac:dyDescent="0.35">
      <c r="A10215" s="32"/>
      <c r="B10215" s="32"/>
    </row>
    <row r="10216" spans="1:2" x14ac:dyDescent="0.35">
      <c r="A10216" s="32"/>
      <c r="B10216" s="32"/>
    </row>
    <row r="10217" spans="1:2" x14ac:dyDescent="0.35">
      <c r="A10217" s="32"/>
      <c r="B10217" s="32"/>
    </row>
    <row r="10218" spans="1:2" x14ac:dyDescent="0.35">
      <c r="A10218" s="32"/>
      <c r="B10218" s="32"/>
    </row>
    <row r="10219" spans="1:2" x14ac:dyDescent="0.35">
      <c r="A10219" s="32"/>
      <c r="B10219" s="32"/>
    </row>
    <row r="10220" spans="1:2" x14ac:dyDescent="0.35">
      <c r="A10220" s="32"/>
      <c r="B10220" s="32"/>
    </row>
    <row r="10221" spans="1:2" x14ac:dyDescent="0.35">
      <c r="A10221" s="32"/>
      <c r="B10221" s="32"/>
    </row>
    <row r="10222" spans="1:2" x14ac:dyDescent="0.35">
      <c r="A10222" s="32"/>
      <c r="B10222" s="32"/>
    </row>
    <row r="10223" spans="1:2" x14ac:dyDescent="0.35">
      <c r="A10223" s="32"/>
      <c r="B10223" s="32"/>
    </row>
    <row r="10224" spans="1:2" x14ac:dyDescent="0.35">
      <c r="A10224" s="32"/>
      <c r="B10224" s="32"/>
    </row>
    <row r="10225" spans="1:2" x14ac:dyDescent="0.35">
      <c r="A10225" s="32"/>
      <c r="B10225" s="32"/>
    </row>
    <row r="10226" spans="1:2" x14ac:dyDescent="0.35">
      <c r="A10226" s="32"/>
      <c r="B10226" s="32"/>
    </row>
    <row r="10227" spans="1:2" x14ac:dyDescent="0.35">
      <c r="A10227" s="32"/>
      <c r="B10227" s="32"/>
    </row>
    <row r="10228" spans="1:2" x14ac:dyDescent="0.35">
      <c r="A10228" s="32"/>
      <c r="B10228" s="32"/>
    </row>
    <row r="10229" spans="1:2" x14ac:dyDescent="0.35">
      <c r="A10229" s="32"/>
      <c r="B10229" s="32"/>
    </row>
    <row r="10230" spans="1:2" x14ac:dyDescent="0.35">
      <c r="A10230" s="32"/>
      <c r="B10230" s="32"/>
    </row>
    <row r="10231" spans="1:2" x14ac:dyDescent="0.35">
      <c r="A10231" s="32"/>
      <c r="B10231" s="32"/>
    </row>
    <row r="10232" spans="1:2" x14ac:dyDescent="0.35">
      <c r="A10232" s="32"/>
      <c r="B10232" s="32"/>
    </row>
    <row r="10233" spans="1:2" x14ac:dyDescent="0.35">
      <c r="A10233" s="32"/>
      <c r="B10233" s="32"/>
    </row>
    <row r="10234" spans="1:2" x14ac:dyDescent="0.35">
      <c r="A10234" s="32"/>
      <c r="B10234" s="32"/>
    </row>
    <row r="10235" spans="1:2" x14ac:dyDescent="0.35">
      <c r="A10235" s="32"/>
      <c r="B10235" s="32"/>
    </row>
    <row r="10236" spans="1:2" x14ac:dyDescent="0.35">
      <c r="A10236" s="32"/>
      <c r="B10236" s="32"/>
    </row>
    <row r="10237" spans="1:2" x14ac:dyDescent="0.35">
      <c r="A10237" s="32"/>
      <c r="B10237" s="32"/>
    </row>
    <row r="10238" spans="1:2" x14ac:dyDescent="0.35">
      <c r="A10238" s="32"/>
      <c r="B10238" s="32"/>
    </row>
    <row r="10239" spans="1:2" x14ac:dyDescent="0.35">
      <c r="A10239" s="32"/>
      <c r="B10239" s="32"/>
    </row>
    <row r="10240" spans="1:2" x14ac:dyDescent="0.35">
      <c r="A10240" s="32"/>
      <c r="B10240" s="32"/>
    </row>
    <row r="10241" spans="1:2" x14ac:dyDescent="0.35">
      <c r="A10241" s="32"/>
      <c r="B10241" s="32"/>
    </row>
    <row r="10242" spans="1:2" x14ac:dyDescent="0.35">
      <c r="A10242" s="32"/>
      <c r="B10242" s="32"/>
    </row>
    <row r="10243" spans="1:2" x14ac:dyDescent="0.35">
      <c r="A10243" s="32"/>
      <c r="B10243" s="32"/>
    </row>
    <row r="10244" spans="1:2" x14ac:dyDescent="0.35">
      <c r="A10244" s="32"/>
      <c r="B10244" s="32"/>
    </row>
    <row r="10245" spans="1:2" x14ac:dyDescent="0.35">
      <c r="A10245" s="32"/>
      <c r="B10245" s="32"/>
    </row>
    <row r="10246" spans="1:2" x14ac:dyDescent="0.35">
      <c r="A10246" s="32"/>
      <c r="B10246" s="32"/>
    </row>
    <row r="10247" spans="1:2" x14ac:dyDescent="0.35">
      <c r="A10247" s="32"/>
      <c r="B10247" s="32"/>
    </row>
    <row r="10248" spans="1:2" x14ac:dyDescent="0.35">
      <c r="A10248" s="32"/>
      <c r="B10248" s="32"/>
    </row>
    <row r="10249" spans="1:2" x14ac:dyDescent="0.35">
      <c r="A10249" s="32"/>
      <c r="B10249" s="32"/>
    </row>
    <row r="10250" spans="1:2" x14ac:dyDescent="0.35">
      <c r="A10250" s="32"/>
      <c r="B10250" s="32"/>
    </row>
    <row r="10251" spans="1:2" x14ac:dyDescent="0.35">
      <c r="A10251" s="32"/>
      <c r="B10251" s="32"/>
    </row>
    <row r="10252" spans="1:2" x14ac:dyDescent="0.35">
      <c r="A10252" s="32"/>
      <c r="B10252" s="32"/>
    </row>
    <row r="10253" spans="1:2" x14ac:dyDescent="0.35">
      <c r="A10253" s="32"/>
      <c r="B10253" s="32"/>
    </row>
    <row r="10254" spans="1:2" x14ac:dyDescent="0.35">
      <c r="A10254" s="32"/>
      <c r="B10254" s="32"/>
    </row>
    <row r="10255" spans="1:2" x14ac:dyDescent="0.35">
      <c r="A10255" s="32"/>
      <c r="B10255" s="32"/>
    </row>
    <row r="10256" spans="1:2" x14ac:dyDescent="0.35">
      <c r="A10256" s="32"/>
      <c r="B10256" s="32"/>
    </row>
    <row r="10257" spans="1:2" x14ac:dyDescent="0.35">
      <c r="A10257" s="32"/>
      <c r="B10257" s="32"/>
    </row>
    <row r="10258" spans="1:2" x14ac:dyDescent="0.35">
      <c r="A10258" s="32"/>
      <c r="B10258" s="32"/>
    </row>
    <row r="10259" spans="1:2" x14ac:dyDescent="0.35">
      <c r="A10259" s="32"/>
      <c r="B10259" s="32"/>
    </row>
    <row r="10260" spans="1:2" x14ac:dyDescent="0.35">
      <c r="A10260" s="32"/>
      <c r="B10260" s="32"/>
    </row>
    <row r="10261" spans="1:2" x14ac:dyDescent="0.35">
      <c r="A10261" s="32"/>
      <c r="B10261" s="32"/>
    </row>
    <row r="10262" spans="1:2" x14ac:dyDescent="0.35">
      <c r="A10262" s="32"/>
      <c r="B10262" s="32"/>
    </row>
    <row r="10263" spans="1:2" x14ac:dyDescent="0.35">
      <c r="A10263" s="32"/>
      <c r="B10263" s="32"/>
    </row>
    <row r="10264" spans="1:2" x14ac:dyDescent="0.35">
      <c r="A10264" s="32"/>
      <c r="B10264" s="32"/>
    </row>
    <row r="10265" spans="1:2" x14ac:dyDescent="0.35">
      <c r="A10265" s="32"/>
      <c r="B10265" s="32"/>
    </row>
    <row r="10266" spans="1:2" x14ac:dyDescent="0.35">
      <c r="A10266" s="32"/>
      <c r="B10266" s="32"/>
    </row>
    <row r="10267" spans="1:2" x14ac:dyDescent="0.35">
      <c r="A10267" s="32"/>
      <c r="B10267" s="32"/>
    </row>
    <row r="10268" spans="1:2" x14ac:dyDescent="0.35">
      <c r="A10268" s="32"/>
      <c r="B10268" s="32"/>
    </row>
    <row r="10269" spans="1:2" x14ac:dyDescent="0.35">
      <c r="A10269" s="32"/>
      <c r="B10269" s="32"/>
    </row>
    <row r="10270" spans="1:2" x14ac:dyDescent="0.35">
      <c r="A10270" s="32"/>
      <c r="B10270" s="32"/>
    </row>
    <row r="10271" spans="1:2" x14ac:dyDescent="0.35">
      <c r="A10271" s="32"/>
      <c r="B10271" s="32"/>
    </row>
    <row r="10272" spans="1:2" x14ac:dyDescent="0.35">
      <c r="A10272" s="32"/>
      <c r="B10272" s="32"/>
    </row>
    <row r="10273" spans="1:2" x14ac:dyDescent="0.35">
      <c r="A10273" s="32"/>
      <c r="B10273" s="32"/>
    </row>
    <row r="10274" spans="1:2" x14ac:dyDescent="0.35">
      <c r="A10274" s="32"/>
      <c r="B10274" s="32"/>
    </row>
    <row r="10275" spans="1:2" x14ac:dyDescent="0.35">
      <c r="A10275" s="32"/>
      <c r="B10275" s="32"/>
    </row>
    <row r="10276" spans="1:2" x14ac:dyDescent="0.35">
      <c r="A10276" s="32"/>
      <c r="B10276" s="32"/>
    </row>
    <row r="10277" spans="1:2" x14ac:dyDescent="0.35">
      <c r="A10277" s="32"/>
      <c r="B10277" s="32"/>
    </row>
    <row r="10278" spans="1:2" x14ac:dyDescent="0.35">
      <c r="A10278" s="32"/>
      <c r="B10278" s="32"/>
    </row>
    <row r="10279" spans="1:2" x14ac:dyDescent="0.35">
      <c r="A10279" s="32"/>
      <c r="B10279" s="32"/>
    </row>
    <row r="10280" spans="1:2" x14ac:dyDescent="0.35">
      <c r="A10280" s="32"/>
      <c r="B10280" s="32"/>
    </row>
    <row r="10281" spans="1:2" x14ac:dyDescent="0.35">
      <c r="A10281" s="32"/>
      <c r="B10281" s="32"/>
    </row>
    <row r="10282" spans="1:2" x14ac:dyDescent="0.35">
      <c r="A10282" s="32"/>
      <c r="B10282" s="32"/>
    </row>
    <row r="10283" spans="1:2" x14ac:dyDescent="0.35">
      <c r="A10283" s="32"/>
      <c r="B10283" s="32"/>
    </row>
    <row r="10284" spans="1:2" x14ac:dyDescent="0.35">
      <c r="A10284" s="32"/>
      <c r="B10284" s="32"/>
    </row>
    <row r="10285" spans="1:2" x14ac:dyDescent="0.35">
      <c r="A10285" s="32"/>
      <c r="B10285" s="32"/>
    </row>
    <row r="10286" spans="1:2" x14ac:dyDescent="0.35">
      <c r="A10286" s="32"/>
      <c r="B10286" s="32"/>
    </row>
    <row r="10287" spans="1:2" x14ac:dyDescent="0.35">
      <c r="A10287" s="32"/>
      <c r="B10287" s="32"/>
    </row>
    <row r="10288" spans="1:2" x14ac:dyDescent="0.35">
      <c r="A10288" s="32"/>
      <c r="B10288" s="32"/>
    </row>
    <row r="10289" spans="1:2" x14ac:dyDescent="0.35">
      <c r="A10289" s="32"/>
      <c r="B10289" s="32"/>
    </row>
    <row r="10290" spans="1:2" x14ac:dyDescent="0.35">
      <c r="A10290" s="32"/>
      <c r="B10290" s="32"/>
    </row>
    <row r="10291" spans="1:2" x14ac:dyDescent="0.35">
      <c r="A10291" s="32"/>
      <c r="B10291" s="32"/>
    </row>
    <row r="10292" spans="1:2" x14ac:dyDescent="0.35">
      <c r="A10292" s="32"/>
      <c r="B10292" s="32"/>
    </row>
    <row r="10293" spans="1:2" x14ac:dyDescent="0.35">
      <c r="A10293" s="32"/>
      <c r="B10293" s="32"/>
    </row>
    <row r="10294" spans="1:2" x14ac:dyDescent="0.35">
      <c r="A10294" s="32"/>
      <c r="B10294" s="32"/>
    </row>
    <row r="10295" spans="1:2" x14ac:dyDescent="0.35">
      <c r="A10295" s="32"/>
      <c r="B10295" s="32"/>
    </row>
    <row r="10296" spans="1:2" x14ac:dyDescent="0.35">
      <c r="A10296" s="32"/>
      <c r="B10296" s="32"/>
    </row>
    <row r="10297" spans="1:2" x14ac:dyDescent="0.35">
      <c r="A10297" s="32"/>
      <c r="B10297" s="32"/>
    </row>
    <row r="10298" spans="1:2" x14ac:dyDescent="0.35">
      <c r="A10298" s="32"/>
      <c r="B10298" s="32"/>
    </row>
    <row r="10299" spans="1:2" x14ac:dyDescent="0.35">
      <c r="A10299" s="32"/>
      <c r="B10299" s="32"/>
    </row>
    <row r="10300" spans="1:2" x14ac:dyDescent="0.35">
      <c r="A10300" s="32"/>
      <c r="B10300" s="32"/>
    </row>
    <row r="10301" spans="1:2" x14ac:dyDescent="0.35">
      <c r="A10301" s="32"/>
      <c r="B10301" s="32"/>
    </row>
    <row r="10302" spans="1:2" x14ac:dyDescent="0.35">
      <c r="A10302" s="32"/>
      <c r="B10302" s="32"/>
    </row>
    <row r="10303" spans="1:2" x14ac:dyDescent="0.35">
      <c r="A10303" s="32"/>
      <c r="B10303" s="32"/>
    </row>
    <row r="10304" spans="1:2" x14ac:dyDescent="0.35">
      <c r="A10304" s="32"/>
      <c r="B10304" s="32"/>
    </row>
    <row r="10305" spans="1:2" x14ac:dyDescent="0.35">
      <c r="A10305" s="32"/>
      <c r="B10305" s="32"/>
    </row>
    <row r="10306" spans="1:2" x14ac:dyDescent="0.35">
      <c r="A10306" s="32"/>
      <c r="B10306" s="32"/>
    </row>
    <row r="10307" spans="1:2" x14ac:dyDescent="0.35">
      <c r="A10307" s="32"/>
      <c r="B10307" s="32"/>
    </row>
    <row r="10308" spans="1:2" x14ac:dyDescent="0.35">
      <c r="A10308" s="32"/>
      <c r="B10308" s="32"/>
    </row>
    <row r="10309" spans="1:2" x14ac:dyDescent="0.35">
      <c r="A10309" s="32"/>
      <c r="B10309" s="32"/>
    </row>
    <row r="10310" spans="1:2" x14ac:dyDescent="0.35">
      <c r="A10310" s="32"/>
      <c r="B10310" s="32"/>
    </row>
    <row r="10311" spans="1:2" x14ac:dyDescent="0.35">
      <c r="A10311" s="32"/>
      <c r="B10311" s="32"/>
    </row>
    <row r="10312" spans="1:2" x14ac:dyDescent="0.35">
      <c r="A10312" s="32"/>
      <c r="B10312" s="32"/>
    </row>
    <row r="10313" spans="1:2" x14ac:dyDescent="0.35">
      <c r="A10313" s="32"/>
      <c r="B10313" s="32"/>
    </row>
    <row r="10314" spans="1:2" x14ac:dyDescent="0.35">
      <c r="A10314" s="32"/>
      <c r="B10314" s="32"/>
    </row>
    <row r="10315" spans="1:2" x14ac:dyDescent="0.35">
      <c r="A10315" s="32"/>
      <c r="B10315" s="32"/>
    </row>
    <row r="10316" spans="1:2" x14ac:dyDescent="0.35">
      <c r="A10316" s="32"/>
      <c r="B10316" s="32"/>
    </row>
    <row r="10317" spans="1:2" x14ac:dyDescent="0.35">
      <c r="A10317" s="32"/>
      <c r="B10317" s="32"/>
    </row>
    <row r="10318" spans="1:2" x14ac:dyDescent="0.35">
      <c r="A10318" s="32"/>
      <c r="B10318" s="32"/>
    </row>
    <row r="10319" spans="1:2" x14ac:dyDescent="0.35">
      <c r="A10319" s="32"/>
      <c r="B10319" s="32"/>
    </row>
    <row r="10320" spans="1:2" x14ac:dyDescent="0.35">
      <c r="A10320" s="32"/>
      <c r="B10320" s="32"/>
    </row>
    <row r="10321" spans="1:2" x14ac:dyDescent="0.35">
      <c r="A10321" s="32"/>
      <c r="B10321" s="32"/>
    </row>
    <row r="10322" spans="1:2" x14ac:dyDescent="0.35">
      <c r="A10322" s="32"/>
      <c r="B10322" s="32"/>
    </row>
    <row r="10323" spans="1:2" x14ac:dyDescent="0.35">
      <c r="A10323" s="32"/>
      <c r="B10323" s="32"/>
    </row>
    <row r="10324" spans="1:2" x14ac:dyDescent="0.35">
      <c r="A10324" s="32"/>
      <c r="B10324" s="32"/>
    </row>
    <row r="10325" spans="1:2" x14ac:dyDescent="0.35">
      <c r="A10325" s="32"/>
      <c r="B10325" s="32"/>
    </row>
    <row r="10326" spans="1:2" x14ac:dyDescent="0.35">
      <c r="A10326" s="32"/>
      <c r="B10326" s="32"/>
    </row>
    <row r="10327" spans="1:2" x14ac:dyDescent="0.35">
      <c r="A10327" s="32"/>
      <c r="B10327" s="32"/>
    </row>
    <row r="10328" spans="1:2" x14ac:dyDescent="0.35">
      <c r="A10328" s="32"/>
      <c r="B10328" s="32"/>
    </row>
    <row r="10329" spans="1:2" x14ac:dyDescent="0.35">
      <c r="A10329" s="32"/>
      <c r="B10329" s="32"/>
    </row>
    <row r="10330" spans="1:2" x14ac:dyDescent="0.35">
      <c r="A10330" s="32"/>
      <c r="B10330" s="32"/>
    </row>
    <row r="10331" spans="1:2" x14ac:dyDescent="0.35">
      <c r="A10331" s="32"/>
      <c r="B10331" s="32"/>
    </row>
    <row r="10332" spans="1:2" x14ac:dyDescent="0.35">
      <c r="A10332" s="32"/>
      <c r="B10332" s="32"/>
    </row>
    <row r="10333" spans="1:2" x14ac:dyDescent="0.35">
      <c r="A10333" s="32"/>
      <c r="B10333" s="32"/>
    </row>
    <row r="10334" spans="1:2" x14ac:dyDescent="0.35">
      <c r="A10334" s="32"/>
      <c r="B10334" s="32"/>
    </row>
    <row r="10335" spans="1:2" x14ac:dyDescent="0.35">
      <c r="A10335" s="32"/>
      <c r="B10335" s="32"/>
    </row>
    <row r="10336" spans="1:2" x14ac:dyDescent="0.35">
      <c r="A10336" s="32"/>
      <c r="B10336" s="32"/>
    </row>
    <row r="10337" spans="1:2" x14ac:dyDescent="0.35">
      <c r="A10337" s="32"/>
      <c r="B10337" s="32"/>
    </row>
    <row r="10338" spans="1:2" x14ac:dyDescent="0.35">
      <c r="A10338" s="32"/>
      <c r="B10338" s="32"/>
    </row>
    <row r="10339" spans="1:2" x14ac:dyDescent="0.35">
      <c r="A10339" s="32"/>
      <c r="B10339" s="32"/>
    </row>
    <row r="10340" spans="1:2" x14ac:dyDescent="0.35">
      <c r="A10340" s="32"/>
      <c r="B10340" s="32"/>
    </row>
    <row r="10341" spans="1:2" x14ac:dyDescent="0.35">
      <c r="A10341" s="32"/>
      <c r="B10341" s="32"/>
    </row>
    <row r="10342" spans="1:2" x14ac:dyDescent="0.35">
      <c r="A10342" s="32"/>
      <c r="B10342" s="32"/>
    </row>
    <row r="10343" spans="1:2" x14ac:dyDescent="0.35">
      <c r="A10343" s="32"/>
      <c r="B10343" s="32"/>
    </row>
    <row r="10344" spans="1:2" x14ac:dyDescent="0.35">
      <c r="A10344" s="32"/>
      <c r="B10344" s="32"/>
    </row>
    <row r="10345" spans="1:2" x14ac:dyDescent="0.35">
      <c r="A10345" s="32"/>
      <c r="B10345" s="32"/>
    </row>
    <row r="10346" spans="1:2" x14ac:dyDescent="0.35">
      <c r="A10346" s="32"/>
      <c r="B10346" s="32"/>
    </row>
    <row r="10347" spans="1:2" x14ac:dyDescent="0.35">
      <c r="A10347" s="32"/>
      <c r="B10347" s="32"/>
    </row>
    <row r="10348" spans="1:2" x14ac:dyDescent="0.35">
      <c r="A10348" s="32"/>
      <c r="B10348" s="32"/>
    </row>
    <row r="10349" spans="1:2" x14ac:dyDescent="0.35">
      <c r="A10349" s="32"/>
      <c r="B10349" s="32"/>
    </row>
    <row r="10350" spans="1:2" x14ac:dyDescent="0.35">
      <c r="A10350" s="32"/>
      <c r="B10350" s="32"/>
    </row>
    <row r="10351" spans="1:2" x14ac:dyDescent="0.35">
      <c r="A10351" s="32"/>
      <c r="B10351" s="32"/>
    </row>
    <row r="10352" spans="1:2" x14ac:dyDescent="0.35">
      <c r="A10352" s="32"/>
      <c r="B10352" s="32"/>
    </row>
    <row r="10353" spans="1:2" x14ac:dyDescent="0.35">
      <c r="A10353" s="32"/>
      <c r="B10353" s="32"/>
    </row>
    <row r="10354" spans="1:2" x14ac:dyDescent="0.35">
      <c r="A10354" s="32"/>
      <c r="B10354" s="32"/>
    </row>
    <row r="10355" spans="1:2" x14ac:dyDescent="0.35">
      <c r="A10355" s="32"/>
      <c r="B10355" s="32"/>
    </row>
    <row r="10356" spans="1:2" x14ac:dyDescent="0.35">
      <c r="A10356" s="32"/>
      <c r="B10356" s="32"/>
    </row>
    <row r="10357" spans="1:2" x14ac:dyDescent="0.35">
      <c r="A10357" s="32"/>
      <c r="B10357" s="32"/>
    </row>
    <row r="10358" spans="1:2" x14ac:dyDescent="0.35">
      <c r="A10358" s="32"/>
      <c r="B10358" s="32"/>
    </row>
    <row r="10359" spans="1:2" x14ac:dyDescent="0.35">
      <c r="A10359" s="32"/>
      <c r="B10359" s="32"/>
    </row>
    <row r="10360" spans="1:2" x14ac:dyDescent="0.35">
      <c r="A10360" s="32"/>
      <c r="B10360" s="32"/>
    </row>
    <row r="10361" spans="1:2" x14ac:dyDescent="0.35">
      <c r="A10361" s="32"/>
      <c r="B10361" s="32"/>
    </row>
    <row r="10362" spans="1:2" x14ac:dyDescent="0.35">
      <c r="A10362" s="32"/>
      <c r="B10362" s="32"/>
    </row>
    <row r="10363" spans="1:2" x14ac:dyDescent="0.35">
      <c r="A10363" s="32"/>
      <c r="B10363" s="32"/>
    </row>
    <row r="10364" spans="1:2" x14ac:dyDescent="0.35">
      <c r="A10364" s="32"/>
      <c r="B10364" s="32"/>
    </row>
    <row r="10365" spans="1:2" x14ac:dyDescent="0.35">
      <c r="A10365" s="32"/>
      <c r="B10365" s="32"/>
    </row>
    <row r="10366" spans="1:2" x14ac:dyDescent="0.35">
      <c r="A10366" s="32"/>
      <c r="B10366" s="32"/>
    </row>
    <row r="10367" spans="1:2" x14ac:dyDescent="0.35">
      <c r="A10367" s="32"/>
      <c r="B10367" s="32"/>
    </row>
    <row r="10368" spans="1:2" x14ac:dyDescent="0.35">
      <c r="A10368" s="32"/>
      <c r="B10368" s="32"/>
    </row>
    <row r="10369" spans="1:2" x14ac:dyDescent="0.35">
      <c r="A10369" s="32"/>
      <c r="B10369" s="32"/>
    </row>
    <row r="10370" spans="1:2" x14ac:dyDescent="0.35">
      <c r="A10370" s="32"/>
      <c r="B10370" s="32"/>
    </row>
    <row r="10371" spans="1:2" x14ac:dyDescent="0.35">
      <c r="A10371" s="32"/>
      <c r="B10371" s="32"/>
    </row>
    <row r="10372" spans="1:2" x14ac:dyDescent="0.35">
      <c r="A10372" s="32"/>
      <c r="B10372" s="32"/>
    </row>
    <row r="10373" spans="1:2" x14ac:dyDescent="0.35">
      <c r="A10373" s="32"/>
      <c r="B10373" s="32"/>
    </row>
    <row r="10374" spans="1:2" x14ac:dyDescent="0.35">
      <c r="A10374" s="32"/>
      <c r="B10374" s="32"/>
    </row>
    <row r="10375" spans="1:2" x14ac:dyDescent="0.35">
      <c r="A10375" s="32"/>
      <c r="B10375" s="32"/>
    </row>
    <row r="10376" spans="1:2" x14ac:dyDescent="0.35">
      <c r="A10376" s="32"/>
      <c r="B10376" s="32"/>
    </row>
    <row r="10377" spans="1:2" x14ac:dyDescent="0.35">
      <c r="A10377" s="32"/>
      <c r="B10377" s="32"/>
    </row>
    <row r="10378" spans="1:2" x14ac:dyDescent="0.35">
      <c r="A10378" s="32"/>
      <c r="B10378" s="32"/>
    </row>
    <row r="10379" spans="1:2" x14ac:dyDescent="0.35">
      <c r="A10379" s="32"/>
      <c r="B10379" s="32"/>
    </row>
    <row r="10380" spans="1:2" x14ac:dyDescent="0.35">
      <c r="A10380" s="32"/>
      <c r="B10380" s="32"/>
    </row>
    <row r="10381" spans="1:2" x14ac:dyDescent="0.35">
      <c r="A10381" s="32"/>
      <c r="B10381" s="32"/>
    </row>
    <row r="10382" spans="1:2" x14ac:dyDescent="0.35">
      <c r="A10382" s="32"/>
      <c r="B10382" s="32"/>
    </row>
    <row r="10383" spans="1:2" x14ac:dyDescent="0.35">
      <c r="A10383" s="32"/>
      <c r="B10383" s="32"/>
    </row>
    <row r="10384" spans="1:2" x14ac:dyDescent="0.35">
      <c r="A10384" s="32"/>
      <c r="B10384" s="32"/>
    </row>
    <row r="10385" spans="1:2" x14ac:dyDescent="0.35">
      <c r="A10385" s="32"/>
      <c r="B10385" s="32"/>
    </row>
    <row r="10386" spans="1:2" x14ac:dyDescent="0.35">
      <c r="A10386" s="32"/>
      <c r="B10386" s="32"/>
    </row>
    <row r="10387" spans="1:2" x14ac:dyDescent="0.35">
      <c r="A10387" s="32"/>
      <c r="B10387" s="32"/>
    </row>
    <row r="10388" spans="1:2" x14ac:dyDescent="0.35">
      <c r="A10388" s="32"/>
      <c r="B10388" s="32"/>
    </row>
    <row r="10389" spans="1:2" x14ac:dyDescent="0.35">
      <c r="A10389" s="32"/>
      <c r="B10389" s="32"/>
    </row>
    <row r="10390" spans="1:2" x14ac:dyDescent="0.35">
      <c r="A10390" s="32"/>
      <c r="B10390" s="32"/>
    </row>
    <row r="10391" spans="1:2" x14ac:dyDescent="0.35">
      <c r="A10391" s="32"/>
      <c r="B10391" s="32"/>
    </row>
    <row r="10392" spans="1:2" x14ac:dyDescent="0.35">
      <c r="A10392" s="32"/>
      <c r="B10392" s="32"/>
    </row>
    <row r="10393" spans="1:2" x14ac:dyDescent="0.35">
      <c r="A10393" s="32"/>
      <c r="B10393" s="32"/>
    </row>
    <row r="10394" spans="1:2" x14ac:dyDescent="0.35">
      <c r="A10394" s="32"/>
      <c r="B10394" s="32"/>
    </row>
    <row r="10395" spans="1:2" x14ac:dyDescent="0.35">
      <c r="A10395" s="32"/>
      <c r="B10395" s="32"/>
    </row>
    <row r="10396" spans="1:2" x14ac:dyDescent="0.35">
      <c r="A10396" s="32"/>
      <c r="B10396" s="32"/>
    </row>
    <row r="10397" spans="1:2" x14ac:dyDescent="0.35">
      <c r="A10397" s="32"/>
      <c r="B10397" s="32"/>
    </row>
    <row r="10398" spans="1:2" x14ac:dyDescent="0.35">
      <c r="A10398" s="32"/>
      <c r="B10398" s="32"/>
    </row>
    <row r="10399" spans="1:2" x14ac:dyDescent="0.35">
      <c r="A10399" s="32"/>
      <c r="B10399" s="32"/>
    </row>
    <row r="10400" spans="1:2" x14ac:dyDescent="0.35">
      <c r="A10400" s="32"/>
      <c r="B10400" s="32"/>
    </row>
    <row r="10401" spans="1:2" x14ac:dyDescent="0.35">
      <c r="A10401" s="32"/>
      <c r="B10401" s="32"/>
    </row>
    <row r="10402" spans="1:2" x14ac:dyDescent="0.35">
      <c r="A10402" s="32"/>
      <c r="B10402" s="32"/>
    </row>
    <row r="10403" spans="1:2" x14ac:dyDescent="0.35">
      <c r="A10403" s="32"/>
      <c r="B10403" s="32"/>
    </row>
    <row r="10404" spans="1:2" x14ac:dyDescent="0.35">
      <c r="A10404" s="32"/>
      <c r="B10404" s="32"/>
    </row>
    <row r="10405" spans="1:2" x14ac:dyDescent="0.35">
      <c r="A10405" s="32"/>
      <c r="B10405" s="32"/>
    </row>
    <row r="10406" spans="1:2" x14ac:dyDescent="0.35">
      <c r="A10406" s="32"/>
      <c r="B10406" s="32"/>
    </row>
    <row r="10407" spans="1:2" x14ac:dyDescent="0.35">
      <c r="A10407" s="32"/>
      <c r="B10407" s="32"/>
    </row>
    <row r="10408" spans="1:2" x14ac:dyDescent="0.35">
      <c r="A10408" s="32"/>
      <c r="B10408" s="32"/>
    </row>
    <row r="10409" spans="1:2" x14ac:dyDescent="0.35">
      <c r="A10409" s="32"/>
      <c r="B10409" s="32"/>
    </row>
    <row r="10410" spans="1:2" x14ac:dyDescent="0.35">
      <c r="A10410" s="32"/>
      <c r="B10410" s="32"/>
    </row>
    <row r="10411" spans="1:2" x14ac:dyDescent="0.35">
      <c r="A10411" s="32"/>
      <c r="B10411" s="32"/>
    </row>
    <row r="10412" spans="1:2" x14ac:dyDescent="0.35">
      <c r="A10412" s="32"/>
      <c r="B10412" s="32"/>
    </row>
    <row r="10413" spans="1:2" x14ac:dyDescent="0.35">
      <c r="A10413" s="32"/>
      <c r="B10413" s="32"/>
    </row>
    <row r="10414" spans="1:2" x14ac:dyDescent="0.35">
      <c r="A10414" s="32"/>
      <c r="B10414" s="32"/>
    </row>
    <row r="10415" spans="1:2" x14ac:dyDescent="0.35">
      <c r="A10415" s="32"/>
      <c r="B10415" s="32"/>
    </row>
    <row r="10416" spans="1:2" x14ac:dyDescent="0.35">
      <c r="A10416" s="32"/>
      <c r="B10416" s="32"/>
    </row>
    <row r="10417" spans="1:2" x14ac:dyDescent="0.35">
      <c r="A10417" s="32"/>
      <c r="B10417" s="32"/>
    </row>
    <row r="10418" spans="1:2" x14ac:dyDescent="0.35">
      <c r="A10418" s="32"/>
      <c r="B10418" s="32"/>
    </row>
    <row r="10419" spans="1:2" x14ac:dyDescent="0.35">
      <c r="A10419" s="32"/>
      <c r="B10419" s="32"/>
    </row>
    <row r="10420" spans="1:2" x14ac:dyDescent="0.35">
      <c r="A10420" s="32"/>
      <c r="B10420" s="32"/>
    </row>
    <row r="10421" spans="1:2" x14ac:dyDescent="0.35">
      <c r="A10421" s="32"/>
      <c r="B10421" s="32"/>
    </row>
    <row r="10422" spans="1:2" x14ac:dyDescent="0.35">
      <c r="A10422" s="32"/>
      <c r="B10422" s="32"/>
    </row>
    <row r="10423" spans="1:2" x14ac:dyDescent="0.35">
      <c r="A10423" s="32"/>
      <c r="B10423" s="32"/>
    </row>
    <row r="10424" spans="1:2" x14ac:dyDescent="0.35">
      <c r="A10424" s="32"/>
      <c r="B10424" s="32"/>
    </row>
    <row r="10425" spans="1:2" x14ac:dyDescent="0.35">
      <c r="A10425" s="32"/>
      <c r="B10425" s="32"/>
    </row>
    <row r="10426" spans="1:2" x14ac:dyDescent="0.35">
      <c r="A10426" s="32"/>
      <c r="B10426" s="32"/>
    </row>
    <row r="10427" spans="1:2" x14ac:dyDescent="0.35">
      <c r="A10427" s="32"/>
      <c r="B10427" s="32"/>
    </row>
    <row r="10428" spans="1:2" x14ac:dyDescent="0.35">
      <c r="A10428" s="32"/>
      <c r="B10428" s="32"/>
    </row>
    <row r="10429" spans="1:2" x14ac:dyDescent="0.35">
      <c r="A10429" s="32"/>
      <c r="B10429" s="32"/>
    </row>
    <row r="10430" spans="1:2" x14ac:dyDescent="0.35">
      <c r="A10430" s="32"/>
      <c r="B10430" s="32"/>
    </row>
    <row r="10431" spans="1:2" x14ac:dyDescent="0.35">
      <c r="A10431" s="32"/>
      <c r="B10431" s="32"/>
    </row>
    <row r="10432" spans="1:2" x14ac:dyDescent="0.35">
      <c r="A10432" s="32"/>
      <c r="B10432" s="32"/>
    </row>
    <row r="10433" spans="1:2" x14ac:dyDescent="0.35">
      <c r="A10433" s="32"/>
      <c r="B10433" s="32"/>
    </row>
    <row r="10434" spans="1:2" x14ac:dyDescent="0.35">
      <c r="A10434" s="32"/>
      <c r="B10434" s="32"/>
    </row>
    <row r="10435" spans="1:2" x14ac:dyDescent="0.35">
      <c r="A10435" s="32"/>
      <c r="B10435" s="32"/>
    </row>
    <row r="10436" spans="1:2" x14ac:dyDescent="0.35">
      <c r="A10436" s="32"/>
      <c r="B10436" s="32"/>
    </row>
    <row r="10437" spans="1:2" x14ac:dyDescent="0.35">
      <c r="A10437" s="32"/>
      <c r="B10437" s="32"/>
    </row>
    <row r="10438" spans="1:2" x14ac:dyDescent="0.35">
      <c r="A10438" s="32"/>
      <c r="B10438" s="32"/>
    </row>
    <row r="10439" spans="1:2" x14ac:dyDescent="0.35">
      <c r="A10439" s="32"/>
      <c r="B10439" s="32"/>
    </row>
    <row r="10440" spans="1:2" x14ac:dyDescent="0.35">
      <c r="A10440" s="32"/>
      <c r="B10440" s="32"/>
    </row>
    <row r="10441" spans="1:2" x14ac:dyDescent="0.35">
      <c r="A10441" s="32"/>
      <c r="B10441" s="32"/>
    </row>
    <row r="10442" spans="1:2" x14ac:dyDescent="0.35">
      <c r="A10442" s="32"/>
      <c r="B10442" s="32"/>
    </row>
    <row r="10443" spans="1:2" x14ac:dyDescent="0.35">
      <c r="A10443" s="32"/>
      <c r="B10443" s="32"/>
    </row>
    <row r="10444" spans="1:2" x14ac:dyDescent="0.35">
      <c r="A10444" s="32"/>
      <c r="B10444" s="32"/>
    </row>
    <row r="10445" spans="1:2" x14ac:dyDescent="0.35">
      <c r="A10445" s="32"/>
      <c r="B10445" s="32"/>
    </row>
    <row r="10446" spans="1:2" x14ac:dyDescent="0.35">
      <c r="A10446" s="32"/>
      <c r="B10446" s="32"/>
    </row>
    <row r="10447" spans="1:2" x14ac:dyDescent="0.35">
      <c r="A10447" s="32"/>
      <c r="B10447" s="32"/>
    </row>
    <row r="10448" spans="1:2" x14ac:dyDescent="0.35">
      <c r="A10448" s="32"/>
      <c r="B10448" s="32"/>
    </row>
    <row r="10449" spans="1:2" x14ac:dyDescent="0.35">
      <c r="A10449" s="32"/>
      <c r="B10449" s="32"/>
    </row>
    <row r="10450" spans="1:2" x14ac:dyDescent="0.35">
      <c r="A10450" s="32"/>
      <c r="B10450" s="32"/>
    </row>
    <row r="10451" spans="1:2" x14ac:dyDescent="0.35">
      <c r="A10451" s="32"/>
      <c r="B10451" s="32"/>
    </row>
    <row r="10452" spans="1:2" x14ac:dyDescent="0.35">
      <c r="A10452" s="32"/>
      <c r="B10452" s="32"/>
    </row>
    <row r="10453" spans="1:2" x14ac:dyDescent="0.35">
      <c r="A10453" s="32"/>
      <c r="B10453" s="32"/>
    </row>
    <row r="10454" spans="1:2" x14ac:dyDescent="0.35">
      <c r="A10454" s="32"/>
      <c r="B10454" s="32"/>
    </row>
    <row r="10455" spans="1:2" x14ac:dyDescent="0.35">
      <c r="A10455" s="32"/>
      <c r="B10455" s="32"/>
    </row>
    <row r="10456" spans="1:2" x14ac:dyDescent="0.35">
      <c r="A10456" s="32"/>
      <c r="B10456" s="32"/>
    </row>
    <row r="10457" spans="1:2" x14ac:dyDescent="0.35">
      <c r="A10457" s="32"/>
      <c r="B10457" s="32"/>
    </row>
    <row r="10458" spans="1:2" x14ac:dyDescent="0.35">
      <c r="A10458" s="32"/>
      <c r="B10458" s="32"/>
    </row>
    <row r="10459" spans="1:2" x14ac:dyDescent="0.35">
      <c r="A10459" s="32"/>
      <c r="B10459" s="32"/>
    </row>
    <row r="10460" spans="1:2" x14ac:dyDescent="0.35">
      <c r="A10460" s="32"/>
      <c r="B10460" s="32"/>
    </row>
    <row r="10461" spans="1:2" x14ac:dyDescent="0.35">
      <c r="A10461" s="32"/>
      <c r="B10461" s="32"/>
    </row>
    <row r="10462" spans="1:2" x14ac:dyDescent="0.35">
      <c r="A10462" s="32"/>
      <c r="B10462" s="32"/>
    </row>
    <row r="10463" spans="1:2" x14ac:dyDescent="0.35">
      <c r="A10463" s="32"/>
      <c r="B10463" s="32"/>
    </row>
    <row r="10464" spans="1:2" x14ac:dyDescent="0.35">
      <c r="A10464" s="32"/>
      <c r="B10464" s="32"/>
    </row>
    <row r="10465" spans="1:2" x14ac:dyDescent="0.35">
      <c r="A10465" s="32"/>
      <c r="B10465" s="32"/>
    </row>
    <row r="10466" spans="1:2" x14ac:dyDescent="0.35">
      <c r="A10466" s="32"/>
      <c r="B10466" s="32"/>
    </row>
    <row r="10467" spans="1:2" x14ac:dyDescent="0.35">
      <c r="A10467" s="32"/>
      <c r="B10467" s="32"/>
    </row>
    <row r="10468" spans="1:2" x14ac:dyDescent="0.35">
      <c r="A10468" s="32"/>
      <c r="B10468" s="32"/>
    </row>
    <row r="10469" spans="1:2" x14ac:dyDescent="0.35">
      <c r="A10469" s="32"/>
      <c r="B10469" s="32"/>
    </row>
    <row r="10470" spans="1:2" x14ac:dyDescent="0.35">
      <c r="A10470" s="32"/>
      <c r="B10470" s="32"/>
    </row>
    <row r="10471" spans="1:2" x14ac:dyDescent="0.35">
      <c r="A10471" s="32"/>
      <c r="B10471" s="32"/>
    </row>
    <row r="10472" spans="1:2" x14ac:dyDescent="0.35">
      <c r="A10472" s="32"/>
      <c r="B10472" s="32"/>
    </row>
    <row r="10473" spans="1:2" x14ac:dyDescent="0.35">
      <c r="A10473" s="32"/>
      <c r="B10473" s="32"/>
    </row>
    <row r="10474" spans="1:2" x14ac:dyDescent="0.35">
      <c r="A10474" s="32"/>
      <c r="B10474" s="32"/>
    </row>
    <row r="10475" spans="1:2" x14ac:dyDescent="0.35">
      <c r="A10475" s="32"/>
      <c r="B10475" s="32"/>
    </row>
    <row r="10476" spans="1:2" x14ac:dyDescent="0.35">
      <c r="A10476" s="32"/>
      <c r="B10476" s="32"/>
    </row>
    <row r="10477" spans="1:2" x14ac:dyDescent="0.35">
      <c r="A10477" s="32"/>
      <c r="B10477" s="32"/>
    </row>
    <row r="10478" spans="1:2" x14ac:dyDescent="0.35">
      <c r="A10478" s="32"/>
      <c r="B10478" s="32"/>
    </row>
    <row r="10479" spans="1:2" x14ac:dyDescent="0.35">
      <c r="A10479" s="32"/>
      <c r="B10479" s="32"/>
    </row>
    <row r="10480" spans="1:2" x14ac:dyDescent="0.35">
      <c r="A10480" s="32"/>
      <c r="B10480" s="32"/>
    </row>
    <row r="10481" spans="1:2" x14ac:dyDescent="0.35">
      <c r="A10481" s="32"/>
      <c r="B10481" s="32"/>
    </row>
    <row r="10482" spans="1:2" x14ac:dyDescent="0.35">
      <c r="A10482" s="32"/>
      <c r="B10482" s="32"/>
    </row>
    <row r="10483" spans="1:2" x14ac:dyDescent="0.35">
      <c r="A10483" s="32"/>
      <c r="B10483" s="32"/>
    </row>
    <row r="10484" spans="1:2" x14ac:dyDescent="0.35">
      <c r="A10484" s="32"/>
      <c r="B10484" s="32"/>
    </row>
    <row r="10485" spans="1:2" x14ac:dyDescent="0.35">
      <c r="A10485" s="32"/>
      <c r="B10485" s="32"/>
    </row>
    <row r="10486" spans="1:2" x14ac:dyDescent="0.35">
      <c r="A10486" s="32"/>
      <c r="B10486" s="32"/>
    </row>
    <row r="10487" spans="1:2" x14ac:dyDescent="0.35">
      <c r="A10487" s="32"/>
      <c r="B10487" s="32"/>
    </row>
    <row r="10488" spans="1:2" x14ac:dyDescent="0.35">
      <c r="A10488" s="32"/>
      <c r="B10488" s="32"/>
    </row>
    <row r="10489" spans="1:2" x14ac:dyDescent="0.35">
      <c r="A10489" s="32"/>
      <c r="B10489" s="32"/>
    </row>
    <row r="10490" spans="1:2" x14ac:dyDescent="0.35">
      <c r="A10490" s="32"/>
      <c r="B10490" s="32"/>
    </row>
    <row r="10491" spans="1:2" x14ac:dyDescent="0.35">
      <c r="A10491" s="32"/>
      <c r="B10491" s="32"/>
    </row>
    <row r="10492" spans="1:2" x14ac:dyDescent="0.35">
      <c r="A10492" s="32"/>
      <c r="B10492" s="32"/>
    </row>
    <row r="10493" spans="1:2" x14ac:dyDescent="0.35">
      <c r="A10493" s="32"/>
      <c r="B10493" s="32"/>
    </row>
    <row r="10494" spans="1:2" x14ac:dyDescent="0.35">
      <c r="A10494" s="32"/>
      <c r="B10494" s="32"/>
    </row>
    <row r="10495" spans="1:2" x14ac:dyDescent="0.35">
      <c r="A10495" s="32"/>
      <c r="B10495" s="32"/>
    </row>
    <row r="10496" spans="1:2" x14ac:dyDescent="0.35">
      <c r="A10496" s="32"/>
      <c r="B10496" s="32"/>
    </row>
    <row r="10497" spans="1:2" x14ac:dyDescent="0.35">
      <c r="A10497" s="32"/>
      <c r="B10497" s="32"/>
    </row>
    <row r="10498" spans="1:2" x14ac:dyDescent="0.35">
      <c r="A10498" s="32"/>
      <c r="B10498" s="32"/>
    </row>
    <row r="10499" spans="1:2" x14ac:dyDescent="0.35">
      <c r="A10499" s="32"/>
      <c r="B10499" s="32"/>
    </row>
    <row r="10500" spans="1:2" x14ac:dyDescent="0.35">
      <c r="A10500" s="32"/>
      <c r="B10500" s="32"/>
    </row>
    <row r="10501" spans="1:2" x14ac:dyDescent="0.35">
      <c r="A10501" s="32"/>
      <c r="B10501" s="32"/>
    </row>
    <row r="10502" spans="1:2" x14ac:dyDescent="0.35">
      <c r="A10502" s="32"/>
      <c r="B10502" s="32"/>
    </row>
    <row r="10503" spans="1:2" x14ac:dyDescent="0.35">
      <c r="A10503" s="32"/>
      <c r="B10503" s="32"/>
    </row>
    <row r="10504" spans="1:2" x14ac:dyDescent="0.35">
      <c r="A10504" s="32"/>
      <c r="B10504" s="32"/>
    </row>
    <row r="10505" spans="1:2" x14ac:dyDescent="0.35">
      <c r="A10505" s="32"/>
      <c r="B10505" s="32"/>
    </row>
    <row r="10506" spans="1:2" x14ac:dyDescent="0.35">
      <c r="A10506" s="32"/>
      <c r="B10506" s="32"/>
    </row>
    <row r="10507" spans="1:2" x14ac:dyDescent="0.35">
      <c r="A10507" s="32"/>
      <c r="B10507" s="32"/>
    </row>
    <row r="10508" spans="1:2" x14ac:dyDescent="0.35">
      <c r="A10508" s="32"/>
      <c r="B10508" s="32"/>
    </row>
    <row r="10509" spans="1:2" x14ac:dyDescent="0.35">
      <c r="A10509" s="32"/>
      <c r="B10509" s="32"/>
    </row>
    <row r="10510" spans="1:2" x14ac:dyDescent="0.35">
      <c r="A10510" s="32"/>
      <c r="B10510" s="32"/>
    </row>
    <row r="10511" spans="1:2" x14ac:dyDescent="0.35">
      <c r="A10511" s="32"/>
      <c r="B10511" s="32"/>
    </row>
    <row r="10512" spans="1:2" x14ac:dyDescent="0.35">
      <c r="A10512" s="32"/>
      <c r="B10512" s="32"/>
    </row>
    <row r="10513" spans="1:2" x14ac:dyDescent="0.35">
      <c r="A10513" s="32"/>
      <c r="B10513" s="32"/>
    </row>
    <row r="10514" spans="1:2" x14ac:dyDescent="0.35">
      <c r="A10514" s="32"/>
      <c r="B10514" s="32"/>
    </row>
    <row r="10515" spans="1:2" x14ac:dyDescent="0.35">
      <c r="A10515" s="32"/>
      <c r="B10515" s="32"/>
    </row>
    <row r="10516" spans="1:2" x14ac:dyDescent="0.35">
      <c r="A10516" s="32"/>
      <c r="B10516" s="32"/>
    </row>
    <row r="10517" spans="1:2" x14ac:dyDescent="0.35">
      <c r="A10517" s="32"/>
      <c r="B10517" s="32"/>
    </row>
    <row r="10518" spans="1:2" x14ac:dyDescent="0.35">
      <c r="A10518" s="32"/>
      <c r="B10518" s="32"/>
    </row>
    <row r="10519" spans="1:2" x14ac:dyDescent="0.35">
      <c r="A10519" s="33"/>
      <c r="B10519" s="33"/>
    </row>
  </sheetData>
  <sortState xmlns:xlrd2="http://schemas.microsoft.com/office/spreadsheetml/2017/richdata2" ref="A56:B83">
    <sortCondition ref="A56:A83"/>
  </sortState>
  <mergeCells count="10469"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3:B253"/>
    <mergeCell ref="A254:B254"/>
    <mergeCell ref="A255:B255"/>
    <mergeCell ref="A256:B256"/>
    <mergeCell ref="A260:B260"/>
    <mergeCell ref="A261:B261"/>
    <mergeCell ref="A262:B262"/>
    <mergeCell ref="A263:B263"/>
    <mergeCell ref="A264:B264"/>
    <mergeCell ref="A265:B265"/>
    <mergeCell ref="A266:B266"/>
    <mergeCell ref="A267:B267"/>
    <mergeCell ref="A50:B50"/>
    <mergeCell ref="A51:B51"/>
    <mergeCell ref="A92:B92"/>
    <mergeCell ref="A93:B93"/>
    <mergeCell ref="A94:B94"/>
    <mergeCell ref="A96:B96"/>
    <mergeCell ref="A97:B97"/>
    <mergeCell ref="A98:B98"/>
    <mergeCell ref="A99:B99"/>
    <mergeCell ref="A100:B100"/>
    <mergeCell ref="A88:B88"/>
    <mergeCell ref="A89:B89"/>
    <mergeCell ref="A90:B90"/>
    <mergeCell ref="A91:B91"/>
    <mergeCell ref="A55:B55"/>
    <mergeCell ref="A54:B54"/>
    <mergeCell ref="A56:B56"/>
    <mergeCell ref="A83:B83"/>
    <mergeCell ref="A86:B86"/>
    <mergeCell ref="A87:B87"/>
    <mergeCell ref="A82:B82"/>
    <mergeCell ref="A80:B80"/>
    <mergeCell ref="A76:B76"/>
    <mergeCell ref="A79:B79"/>
    <mergeCell ref="A77:B77"/>
    <mergeCell ref="A78:B78"/>
    <mergeCell ref="A81:B81"/>
    <mergeCell ref="A159:B159"/>
    <mergeCell ref="A160:B160"/>
    <mergeCell ref="A138:B138"/>
    <mergeCell ref="A139:B139"/>
    <mergeCell ref="A140:B140"/>
    <mergeCell ref="A141:B141"/>
    <mergeCell ref="A136:B136"/>
    <mergeCell ref="A137:B137"/>
    <mergeCell ref="A126:B126"/>
    <mergeCell ref="A127:B127"/>
    <mergeCell ref="A128:B128"/>
    <mergeCell ref="A129:B129"/>
    <mergeCell ref="A131:B131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59:B59"/>
    <mergeCell ref="A60:B60"/>
    <mergeCell ref="A61:B61"/>
    <mergeCell ref="A62:B62"/>
    <mergeCell ref="A73:B73"/>
    <mergeCell ref="A74:B74"/>
    <mergeCell ref="A75:B75"/>
    <mergeCell ref="A57:B57"/>
    <mergeCell ref="A58:B58"/>
    <mergeCell ref="A63:B63"/>
    <mergeCell ref="A64:B64"/>
    <mergeCell ref="A65:B65"/>
    <mergeCell ref="A66:B66"/>
    <mergeCell ref="A67:B67"/>
    <mergeCell ref="A68:B68"/>
    <mergeCell ref="A69:B69"/>
    <mergeCell ref="A70:B70"/>
    <mergeCell ref="A71:B71"/>
    <mergeCell ref="A72:B72"/>
    <mergeCell ref="A95:B95"/>
    <mergeCell ref="A14:B14"/>
    <mergeCell ref="A15:B15"/>
    <mergeCell ref="A16:B16"/>
    <mergeCell ref="A132:B132"/>
    <mergeCell ref="A133:B133"/>
    <mergeCell ref="A134:B134"/>
    <mergeCell ref="A135:B135"/>
    <mergeCell ref="A17:B17"/>
    <mergeCell ref="A18:B18"/>
    <mergeCell ref="A19:B19"/>
    <mergeCell ref="A20:B20"/>
    <mergeCell ref="A21:B21"/>
    <mergeCell ref="A22:B22"/>
    <mergeCell ref="A23:B23"/>
    <mergeCell ref="A30:B30"/>
    <mergeCell ref="A31:B31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130:B130"/>
    <mergeCell ref="A118:B118"/>
    <mergeCell ref="A119:B119"/>
    <mergeCell ref="A120:B120"/>
    <mergeCell ref="A121:B121"/>
    <mergeCell ref="A122:B122"/>
    <mergeCell ref="A123:B123"/>
    <mergeCell ref="A124:B124"/>
    <mergeCell ref="A125:B125"/>
    <mergeCell ref="A114:B114"/>
    <mergeCell ref="A115:B115"/>
    <mergeCell ref="A116:B116"/>
    <mergeCell ref="A117:B117"/>
    <mergeCell ref="A112:B112"/>
    <mergeCell ref="A113:B113"/>
    <mergeCell ref="A101:B101"/>
    <mergeCell ref="A102:B102"/>
    <mergeCell ref="A104:B104"/>
    <mergeCell ref="A105:B105"/>
    <mergeCell ref="A106:B106"/>
    <mergeCell ref="A107:B107"/>
    <mergeCell ref="A108:B108"/>
    <mergeCell ref="A109:B109"/>
    <mergeCell ref="A110:B110"/>
    <mergeCell ref="A111:B111"/>
    <mergeCell ref="A103:B103"/>
    <mergeCell ref="A47:B47"/>
    <mergeCell ref="A48:B48"/>
    <mergeCell ref="A49:B49"/>
    <mergeCell ref="A198:B198"/>
    <mergeCell ref="A238:B238"/>
    <mergeCell ref="A239:B239"/>
    <mergeCell ref="A240:B240"/>
    <mergeCell ref="A257:B257"/>
    <mergeCell ref="A188:B188"/>
    <mergeCell ref="A189:B189"/>
    <mergeCell ref="A190:B190"/>
    <mergeCell ref="A191:B191"/>
    <mergeCell ref="A192:B192"/>
    <mergeCell ref="A193:B193"/>
    <mergeCell ref="A194:B194"/>
    <mergeCell ref="A195:B195"/>
    <mergeCell ref="A218:B218"/>
    <mergeCell ref="A219:B219"/>
    <mergeCell ref="A220:B220"/>
    <mergeCell ref="A221:B221"/>
    <mergeCell ref="A227:B227"/>
    <mergeCell ref="A228:B228"/>
    <mergeCell ref="A229:B229"/>
    <mergeCell ref="A142:B142"/>
    <mergeCell ref="A143:B143"/>
    <mergeCell ref="A144:B144"/>
    <mergeCell ref="A145:B145"/>
    <mergeCell ref="A146:B146"/>
    <mergeCell ref="A147:B147"/>
    <mergeCell ref="A148:B148"/>
    <mergeCell ref="A149:B149"/>
    <mergeCell ref="A176:B176"/>
    <mergeCell ref="A164:B164"/>
    <mergeCell ref="A165:B165"/>
    <mergeCell ref="A166:B166"/>
    <mergeCell ref="A167:B167"/>
    <mergeCell ref="A168:B168"/>
    <mergeCell ref="A169:B169"/>
    <mergeCell ref="A170:B170"/>
    <mergeCell ref="A171:B171"/>
    <mergeCell ref="A155:B155"/>
    <mergeCell ref="A161:B161"/>
    <mergeCell ref="A162:B162"/>
    <mergeCell ref="A163:B163"/>
    <mergeCell ref="A150:B150"/>
    <mergeCell ref="A184:B184"/>
    <mergeCell ref="A185:B185"/>
    <mergeCell ref="A186:B186"/>
    <mergeCell ref="A187:B187"/>
    <mergeCell ref="A182:B182"/>
    <mergeCell ref="A183:B183"/>
    <mergeCell ref="A172:B172"/>
    <mergeCell ref="A173:B173"/>
    <mergeCell ref="A174:B174"/>
    <mergeCell ref="A175:B175"/>
    <mergeCell ref="A177:B177"/>
    <mergeCell ref="A178:B178"/>
    <mergeCell ref="A179:B179"/>
    <mergeCell ref="A180:B180"/>
    <mergeCell ref="A181:B181"/>
    <mergeCell ref="A151:B151"/>
    <mergeCell ref="A152:B152"/>
    <mergeCell ref="A153:B153"/>
    <mergeCell ref="A154:B154"/>
    <mergeCell ref="A156:B156"/>
    <mergeCell ref="A157:B157"/>
    <mergeCell ref="A158:B158"/>
    <mergeCell ref="A2326:B2326"/>
    <mergeCell ref="A2327:B2327"/>
    <mergeCell ref="A2328:B2328"/>
    <mergeCell ref="A9830:B9830"/>
    <mergeCell ref="A9831:B9831"/>
    <mergeCell ref="A9832:B9832"/>
    <mergeCell ref="A9833:B9833"/>
    <mergeCell ref="A9834:B9834"/>
    <mergeCell ref="A9835:B9835"/>
    <mergeCell ref="A9809:B9809"/>
    <mergeCell ref="A9810:B9810"/>
    <mergeCell ref="A9811:B9811"/>
    <mergeCell ref="A9812:B9812"/>
    <mergeCell ref="A9813:B9813"/>
    <mergeCell ref="A9814:B9814"/>
    <mergeCell ref="A9815:B9815"/>
    <mergeCell ref="A9816:B9816"/>
    <mergeCell ref="A9817:B9817"/>
    <mergeCell ref="A9818:B9818"/>
    <mergeCell ref="A9819:B9819"/>
    <mergeCell ref="A9820:B9820"/>
    <mergeCell ref="A9821:B9821"/>
    <mergeCell ref="A9822:B9822"/>
    <mergeCell ref="A230:B230"/>
    <mergeCell ref="A231:B231"/>
    <mergeCell ref="A232:B232"/>
    <mergeCell ref="A233:B233"/>
    <mergeCell ref="A234:B234"/>
    <mergeCell ref="A235:B235"/>
    <mergeCell ref="A270:B270"/>
    <mergeCell ref="A271:B271"/>
    <mergeCell ref="A268:B268"/>
    <mergeCell ref="A269:B269"/>
    <mergeCell ref="A258:B258"/>
    <mergeCell ref="A259:B259"/>
    <mergeCell ref="A9804:B9804"/>
    <mergeCell ref="A9805:B9805"/>
    <mergeCell ref="A9806:B9806"/>
    <mergeCell ref="A9807:B9807"/>
    <mergeCell ref="A9808:B9808"/>
    <mergeCell ref="A9781:B9781"/>
    <mergeCell ref="A9782:B9782"/>
    <mergeCell ref="A9783:B9783"/>
    <mergeCell ref="A9784:B9784"/>
    <mergeCell ref="A9785:B9785"/>
    <mergeCell ref="A9786:B9786"/>
    <mergeCell ref="A9787:B9787"/>
    <mergeCell ref="A9788:B9788"/>
    <mergeCell ref="A9789:B9789"/>
    <mergeCell ref="A9790:B9790"/>
    <mergeCell ref="A9791:B9791"/>
    <mergeCell ref="A9792:B9792"/>
    <mergeCell ref="A9793:B9793"/>
    <mergeCell ref="A9794:B9794"/>
    <mergeCell ref="A9795:B9795"/>
    <mergeCell ref="A9796:B9796"/>
    <mergeCell ref="A9797:B9797"/>
    <mergeCell ref="A9798:B9798"/>
    <mergeCell ref="A9799:B9799"/>
    <mergeCell ref="A9800:B9800"/>
    <mergeCell ref="A9801:B9801"/>
    <mergeCell ref="A9802:B9802"/>
    <mergeCell ref="A9803:B9803"/>
    <mergeCell ref="A9754:B9754"/>
    <mergeCell ref="A9836:B9836"/>
    <mergeCell ref="A10519:B10519"/>
    <mergeCell ref="A9823:B9823"/>
    <mergeCell ref="A9824:B9824"/>
    <mergeCell ref="A9825:B9825"/>
    <mergeCell ref="A9826:B9826"/>
    <mergeCell ref="A9827:B9827"/>
    <mergeCell ref="A9828:B9828"/>
    <mergeCell ref="A9829:B9829"/>
    <mergeCell ref="A10291:B10291"/>
    <mergeCell ref="A10292:B10292"/>
    <mergeCell ref="A10293:B10293"/>
    <mergeCell ref="A10294:B10294"/>
    <mergeCell ref="A10295:B10295"/>
    <mergeCell ref="A10296:B10296"/>
    <mergeCell ref="A10297:B10297"/>
    <mergeCell ref="A10298:B10298"/>
    <mergeCell ref="A10299:B10299"/>
    <mergeCell ref="A10300:B10300"/>
    <mergeCell ref="A10301:B10301"/>
    <mergeCell ref="A10302:B10302"/>
    <mergeCell ref="A10303:B10303"/>
    <mergeCell ref="A10304:B10304"/>
    <mergeCell ref="A10305:B10305"/>
    <mergeCell ref="A10329:B10329"/>
    <mergeCell ref="A10330:B10330"/>
    <mergeCell ref="A10331:B10331"/>
    <mergeCell ref="A10332:B10332"/>
    <mergeCell ref="A10315:B10315"/>
    <mergeCell ref="A10316:B10316"/>
    <mergeCell ref="A10317:B10317"/>
    <mergeCell ref="A10318:B10318"/>
    <mergeCell ref="A10319:B10319"/>
    <mergeCell ref="A10320:B10320"/>
    <mergeCell ref="A10321:B10321"/>
    <mergeCell ref="A10322:B10322"/>
    <mergeCell ref="A10323:B10323"/>
    <mergeCell ref="A10111:B10111"/>
    <mergeCell ref="A10112:B10112"/>
    <mergeCell ref="A10095:B10095"/>
    <mergeCell ref="A10096:B10096"/>
    <mergeCell ref="A10097:B10097"/>
    <mergeCell ref="A10098:B10098"/>
    <mergeCell ref="A10099:B10099"/>
    <mergeCell ref="A10100:B10100"/>
    <mergeCell ref="A10101:B10101"/>
    <mergeCell ref="A10102:B10102"/>
    <mergeCell ref="A10103:B10103"/>
    <mergeCell ref="A10122:B10122"/>
    <mergeCell ref="A10123:B10123"/>
    <mergeCell ref="A10308:B10308"/>
    <mergeCell ref="A10309:B10309"/>
    <mergeCell ref="A10310:B10310"/>
    <mergeCell ref="A10311:B10311"/>
    <mergeCell ref="A10285:B10285"/>
    <mergeCell ref="A10286:B10286"/>
    <mergeCell ref="A10288:B10288"/>
    <mergeCell ref="A10289:B10289"/>
    <mergeCell ref="A10290:B10290"/>
    <mergeCell ref="A10080:B10080"/>
    <mergeCell ref="A10081:B10081"/>
    <mergeCell ref="A10082:B10082"/>
    <mergeCell ref="A10083:B10083"/>
    <mergeCell ref="A10084:B10084"/>
    <mergeCell ref="A9755:B9755"/>
    <mergeCell ref="A9756:B9756"/>
    <mergeCell ref="A9757:B9757"/>
    <mergeCell ref="A9758:B9758"/>
    <mergeCell ref="A9759:B9759"/>
    <mergeCell ref="A9760:B9760"/>
    <mergeCell ref="A10312:B10312"/>
    <mergeCell ref="A10313:B10313"/>
    <mergeCell ref="A10314:B10314"/>
    <mergeCell ref="A9779:B9779"/>
    <mergeCell ref="A9780:B9780"/>
    <mergeCell ref="A9770:B9770"/>
    <mergeCell ref="A9771:B9771"/>
    <mergeCell ref="A9772:B9772"/>
    <mergeCell ref="A9773:B9773"/>
    <mergeCell ref="A9774:B9774"/>
    <mergeCell ref="A9775:B9775"/>
    <mergeCell ref="A9776:B9776"/>
    <mergeCell ref="A9777:B9777"/>
    <mergeCell ref="A9778:B9778"/>
    <mergeCell ref="A9761:B9761"/>
    <mergeCell ref="A9762:B9762"/>
    <mergeCell ref="A9763:B9763"/>
    <mergeCell ref="A9764:B9764"/>
    <mergeCell ref="A9765:B9765"/>
    <mergeCell ref="A9766:B9766"/>
    <mergeCell ref="A9767:B9767"/>
    <mergeCell ref="A9768:B9768"/>
    <mergeCell ref="A9769:B9769"/>
    <mergeCell ref="A10378:B10378"/>
    <mergeCell ref="A10379:B10379"/>
    <mergeCell ref="A9743:B9743"/>
    <mergeCell ref="A9744:B9744"/>
    <mergeCell ref="A9745:B9745"/>
    <mergeCell ref="A9746:B9746"/>
    <mergeCell ref="A9747:B9747"/>
    <mergeCell ref="A9748:B9748"/>
    <mergeCell ref="A9749:B9749"/>
    <mergeCell ref="A9750:B9750"/>
    <mergeCell ref="A9751:B9751"/>
    <mergeCell ref="A10342:B10342"/>
    <mergeCell ref="A10343:B10343"/>
    <mergeCell ref="A10344:B10344"/>
    <mergeCell ref="A10345:B10345"/>
    <mergeCell ref="A10346:B10346"/>
    <mergeCell ref="A10347:B10347"/>
    <mergeCell ref="A10348:B10348"/>
    <mergeCell ref="A10349:B10349"/>
    <mergeCell ref="A10350:B10350"/>
    <mergeCell ref="A10333:B10333"/>
    <mergeCell ref="A10334:B10334"/>
    <mergeCell ref="A10335:B10335"/>
    <mergeCell ref="A10336:B10336"/>
    <mergeCell ref="A10337:B10337"/>
    <mergeCell ref="A10338:B10338"/>
    <mergeCell ref="A10339:B10339"/>
    <mergeCell ref="A10340:B10340"/>
    <mergeCell ref="A10341:B10341"/>
    <mergeCell ref="A10324:B10324"/>
    <mergeCell ref="A10325:B10325"/>
    <mergeCell ref="A10326:B10326"/>
    <mergeCell ref="A10327:B10327"/>
    <mergeCell ref="A10328:B10328"/>
    <mergeCell ref="A10287:B10287"/>
    <mergeCell ref="A9729:B9729"/>
    <mergeCell ref="A9730:B9730"/>
    <mergeCell ref="A9731:B9731"/>
    <mergeCell ref="A9732:B9732"/>
    <mergeCell ref="A9733:B9733"/>
    <mergeCell ref="A9613:B9613"/>
    <mergeCell ref="A9614:B9614"/>
    <mergeCell ref="A9615:B9615"/>
    <mergeCell ref="A9616:B9616"/>
    <mergeCell ref="A9617:B9617"/>
    <mergeCell ref="A9618:B9618"/>
    <mergeCell ref="A9619:B9619"/>
    <mergeCell ref="A9620:B9620"/>
    <mergeCell ref="A9621:B9621"/>
    <mergeCell ref="A9622:B9622"/>
    <mergeCell ref="A9623:B9623"/>
    <mergeCell ref="A9624:B9624"/>
    <mergeCell ref="A9625:B9625"/>
    <mergeCell ref="A9626:B9626"/>
    <mergeCell ref="A9627:B9627"/>
    <mergeCell ref="A9628:B9628"/>
    <mergeCell ref="A9629:B9629"/>
    <mergeCell ref="A9709:B9709"/>
    <mergeCell ref="A9710:B9710"/>
    <mergeCell ref="A9711:B9711"/>
    <mergeCell ref="A9712:B9712"/>
    <mergeCell ref="A9713:B9713"/>
    <mergeCell ref="A9714:B9714"/>
    <mergeCell ref="A9715:B9715"/>
    <mergeCell ref="A9716:B9716"/>
    <mergeCell ref="A9717:B9717"/>
    <mergeCell ref="A9700:B9700"/>
    <mergeCell ref="A9701:B9701"/>
    <mergeCell ref="A9702:B9702"/>
    <mergeCell ref="A9703:B9703"/>
    <mergeCell ref="A9704:B9704"/>
    <mergeCell ref="A9705:B9705"/>
    <mergeCell ref="A9706:B9706"/>
    <mergeCell ref="A9707:B9707"/>
    <mergeCell ref="A9708:B9708"/>
    <mergeCell ref="A9691:B9691"/>
    <mergeCell ref="A9692:B9692"/>
    <mergeCell ref="A9693:B9693"/>
    <mergeCell ref="A9694:B9694"/>
    <mergeCell ref="A9695:B9695"/>
    <mergeCell ref="A9696:B9696"/>
    <mergeCell ref="A9697:B9697"/>
    <mergeCell ref="A9698:B9698"/>
    <mergeCell ref="A9699:B9699"/>
    <mergeCell ref="A9669:B9669"/>
    <mergeCell ref="A9670:B9670"/>
    <mergeCell ref="A9666:B9666"/>
    <mergeCell ref="A9667:B9667"/>
    <mergeCell ref="A9668:B9668"/>
    <mergeCell ref="A9671:B9671"/>
    <mergeCell ref="A9672:B9672"/>
    <mergeCell ref="A9673:B9673"/>
    <mergeCell ref="A9674:B9674"/>
    <mergeCell ref="A9675:B9675"/>
    <mergeCell ref="A9676:B9676"/>
    <mergeCell ref="A9677:B9677"/>
    <mergeCell ref="A9678:B9678"/>
    <mergeCell ref="A9679:B9679"/>
    <mergeCell ref="A9680:B9680"/>
    <mergeCell ref="A10085:B10085"/>
    <mergeCell ref="A10086:B10086"/>
    <mergeCell ref="A10087:B10087"/>
    <mergeCell ref="A10088:B10088"/>
    <mergeCell ref="A10089:B10089"/>
    <mergeCell ref="A10090:B10090"/>
    <mergeCell ref="A10091:B10091"/>
    <mergeCell ref="A10092:B10092"/>
    <mergeCell ref="A10093:B10093"/>
    <mergeCell ref="A10094:B10094"/>
    <mergeCell ref="A9718:B9718"/>
    <mergeCell ref="A9719:B9719"/>
    <mergeCell ref="A9720:B9720"/>
    <mergeCell ref="A9721:B9721"/>
    <mergeCell ref="A9722:B9722"/>
    <mergeCell ref="A9723:B9723"/>
    <mergeCell ref="A9724:B9724"/>
    <mergeCell ref="A9752:B9752"/>
    <mergeCell ref="A9753:B9753"/>
    <mergeCell ref="A10104:B10104"/>
    <mergeCell ref="A10105:B10105"/>
    <mergeCell ref="A10106:B10106"/>
    <mergeCell ref="A10107:B10107"/>
    <mergeCell ref="A10108:B10108"/>
    <mergeCell ref="A10109:B10109"/>
    <mergeCell ref="A10110:B10110"/>
    <mergeCell ref="A10201:B10201"/>
    <mergeCell ref="A10202:B10202"/>
    <mergeCell ref="A10185:B10185"/>
    <mergeCell ref="A10186:B10186"/>
    <mergeCell ref="A10187:B10187"/>
    <mergeCell ref="A10188:B10188"/>
    <mergeCell ref="A10189:B10189"/>
    <mergeCell ref="A10190:B10190"/>
    <mergeCell ref="A10191:B10191"/>
    <mergeCell ref="A10192:B10192"/>
    <mergeCell ref="A10193:B10193"/>
    <mergeCell ref="A9982:B9982"/>
    <mergeCell ref="A9983:B9983"/>
    <mergeCell ref="A9984:B9984"/>
    <mergeCell ref="A9985:B9985"/>
    <mergeCell ref="A9968:B9968"/>
    <mergeCell ref="A9969:B9969"/>
    <mergeCell ref="A9970:B9970"/>
    <mergeCell ref="A9971:B9971"/>
    <mergeCell ref="A9972:B9972"/>
    <mergeCell ref="A9973:B9973"/>
    <mergeCell ref="A9974:B9974"/>
    <mergeCell ref="A9975:B9975"/>
    <mergeCell ref="A9976:B9976"/>
    <mergeCell ref="A9959:B9959"/>
    <mergeCell ref="A9960:B9960"/>
    <mergeCell ref="A9961:B9961"/>
    <mergeCell ref="A9962:B9962"/>
    <mergeCell ref="A9963:B9963"/>
    <mergeCell ref="A9964:B9964"/>
    <mergeCell ref="A9965:B9965"/>
    <mergeCell ref="A9966:B9966"/>
    <mergeCell ref="A9967:B9967"/>
    <mergeCell ref="A9950:B9950"/>
    <mergeCell ref="A9951:B9951"/>
    <mergeCell ref="A9952:B9952"/>
    <mergeCell ref="A9953:B9953"/>
    <mergeCell ref="A9954:B9954"/>
    <mergeCell ref="A10261:B10261"/>
    <mergeCell ref="A10262:B10262"/>
    <mergeCell ref="A10263:B10263"/>
    <mergeCell ref="A10264:B10264"/>
    <mergeCell ref="A10265:B10265"/>
    <mergeCell ref="A10248:B10248"/>
    <mergeCell ref="A10249:B10249"/>
    <mergeCell ref="A10250:B10250"/>
    <mergeCell ref="A10251:B10251"/>
    <mergeCell ref="A10252:B10252"/>
    <mergeCell ref="A10253:B10253"/>
    <mergeCell ref="A10254:B10254"/>
    <mergeCell ref="A10255:B10255"/>
    <mergeCell ref="A10256:B10256"/>
    <mergeCell ref="A10239:B10239"/>
    <mergeCell ref="A10240:B10240"/>
    <mergeCell ref="A10241:B10241"/>
    <mergeCell ref="A10242:B10242"/>
    <mergeCell ref="A9681:B9681"/>
    <mergeCell ref="A9682:B9682"/>
    <mergeCell ref="A9683:B9683"/>
    <mergeCell ref="A9684:B9684"/>
    <mergeCell ref="A9685:B9685"/>
    <mergeCell ref="A9686:B9686"/>
    <mergeCell ref="A9687:B9687"/>
    <mergeCell ref="A9688:B9688"/>
    <mergeCell ref="A9689:B9689"/>
    <mergeCell ref="A9690:B9690"/>
    <mergeCell ref="A10204:B10204"/>
    <mergeCell ref="A10205:B10205"/>
    <mergeCell ref="A10206:B10206"/>
    <mergeCell ref="A10207:B10207"/>
    <mergeCell ref="A10208:B10208"/>
    <mergeCell ref="A10209:B10209"/>
    <mergeCell ref="A10210:B10210"/>
    <mergeCell ref="A10211:B10211"/>
    <mergeCell ref="A10194:B10194"/>
    <mergeCell ref="A10195:B10195"/>
    <mergeCell ref="A10196:B10196"/>
    <mergeCell ref="A10197:B10197"/>
    <mergeCell ref="A10198:B10198"/>
    <mergeCell ref="A10199:B10199"/>
    <mergeCell ref="A10200:B10200"/>
    <mergeCell ref="A10243:B10243"/>
    <mergeCell ref="A10244:B10244"/>
    <mergeCell ref="A10245:B10245"/>
    <mergeCell ref="A10246:B10246"/>
    <mergeCell ref="A10247:B10247"/>
    <mergeCell ref="A10230:B10230"/>
    <mergeCell ref="A10231:B10231"/>
    <mergeCell ref="A10232:B10232"/>
    <mergeCell ref="A10233:B10233"/>
    <mergeCell ref="A10234:B10234"/>
    <mergeCell ref="A10235:B10235"/>
    <mergeCell ref="A10236:B10236"/>
    <mergeCell ref="A10237:B10237"/>
    <mergeCell ref="A10238:B10238"/>
    <mergeCell ref="A10221:B10221"/>
    <mergeCell ref="A10222:B10222"/>
    <mergeCell ref="A10223:B10223"/>
    <mergeCell ref="A10224:B10224"/>
    <mergeCell ref="A10225:B10225"/>
    <mergeCell ref="A10226:B10226"/>
    <mergeCell ref="A10227:B10227"/>
    <mergeCell ref="A9639:B9639"/>
    <mergeCell ref="A9640:B9640"/>
    <mergeCell ref="A9641:B9641"/>
    <mergeCell ref="A9642:B9642"/>
    <mergeCell ref="A9643:B9643"/>
    <mergeCell ref="A9644:B9644"/>
    <mergeCell ref="A9645:B9645"/>
    <mergeCell ref="A9646:B9646"/>
    <mergeCell ref="A9647:B9647"/>
    <mergeCell ref="A9630:B9630"/>
    <mergeCell ref="A9631:B9631"/>
    <mergeCell ref="A9632:B9632"/>
    <mergeCell ref="A9633:B9633"/>
    <mergeCell ref="A9634:B9634"/>
    <mergeCell ref="A9635:B9635"/>
    <mergeCell ref="A9636:B9636"/>
    <mergeCell ref="A9637:B9637"/>
    <mergeCell ref="A9638:B9638"/>
    <mergeCell ref="A10162:B10162"/>
    <mergeCell ref="A10163:B10163"/>
    <mergeCell ref="A10164:B10164"/>
    <mergeCell ref="A10165:B10165"/>
    <mergeCell ref="A10166:B10166"/>
    <mergeCell ref="A10149:B10149"/>
    <mergeCell ref="A10150:B10150"/>
    <mergeCell ref="A10151:B10151"/>
    <mergeCell ref="A10152:B10152"/>
    <mergeCell ref="A10153:B10153"/>
    <mergeCell ref="A10154:B10154"/>
    <mergeCell ref="A10155:B10155"/>
    <mergeCell ref="A10156:B10156"/>
    <mergeCell ref="A10157:B10157"/>
    <mergeCell ref="A10124:B10124"/>
    <mergeCell ref="A10125:B10125"/>
    <mergeCell ref="A10126:B10126"/>
    <mergeCell ref="A10127:B10127"/>
    <mergeCell ref="A10128:B10128"/>
    <mergeCell ref="A10129:B10129"/>
    <mergeCell ref="A10130:B10130"/>
    <mergeCell ref="A9878:B9878"/>
    <mergeCell ref="A9879:B9879"/>
    <mergeCell ref="A9880:B9880"/>
    <mergeCell ref="A9881:B9881"/>
    <mergeCell ref="A9882:B9882"/>
    <mergeCell ref="A9883:B9883"/>
    <mergeCell ref="A9884:B9884"/>
    <mergeCell ref="A9885:B9885"/>
    <mergeCell ref="A9886:B9886"/>
    <mergeCell ref="A9930:B9930"/>
    <mergeCell ref="A9931:B9931"/>
    <mergeCell ref="A9914:B9914"/>
    <mergeCell ref="A9915:B9915"/>
    <mergeCell ref="A9916:B9916"/>
    <mergeCell ref="A9917:B9917"/>
    <mergeCell ref="A9918:B9918"/>
    <mergeCell ref="A9919:B9919"/>
    <mergeCell ref="A9920:B9920"/>
    <mergeCell ref="A9921:B9921"/>
    <mergeCell ref="A9922:B9922"/>
    <mergeCell ref="A9977:B9977"/>
    <mergeCell ref="A9978:B9978"/>
    <mergeCell ref="A9979:B9979"/>
    <mergeCell ref="A9980:B9980"/>
    <mergeCell ref="A9981:B9981"/>
    <mergeCell ref="A10306:B10306"/>
    <mergeCell ref="A10307:B10307"/>
    <mergeCell ref="A9657:B9657"/>
    <mergeCell ref="A9658:B9658"/>
    <mergeCell ref="A9659:B9659"/>
    <mergeCell ref="A9660:B9660"/>
    <mergeCell ref="A9661:B9661"/>
    <mergeCell ref="A9662:B9662"/>
    <mergeCell ref="A9663:B9663"/>
    <mergeCell ref="A9664:B9664"/>
    <mergeCell ref="A9665:B9665"/>
    <mergeCell ref="A9648:B9648"/>
    <mergeCell ref="A9649:B9649"/>
    <mergeCell ref="A9650:B9650"/>
    <mergeCell ref="A9651:B9651"/>
    <mergeCell ref="A9652:B9652"/>
    <mergeCell ref="A9653:B9653"/>
    <mergeCell ref="A9654:B9654"/>
    <mergeCell ref="A9655:B9655"/>
    <mergeCell ref="A9656:B9656"/>
    <mergeCell ref="A9734:B9734"/>
    <mergeCell ref="A9735:B9735"/>
    <mergeCell ref="A9736:B9736"/>
    <mergeCell ref="A9737:B9737"/>
    <mergeCell ref="A9738:B9738"/>
    <mergeCell ref="A9739:B9739"/>
    <mergeCell ref="A9740:B9740"/>
    <mergeCell ref="A9741:B9741"/>
    <mergeCell ref="A9742:B9742"/>
    <mergeCell ref="A9725:B9725"/>
    <mergeCell ref="A9726:B9726"/>
    <mergeCell ref="A9727:B9727"/>
    <mergeCell ref="A9728:B9728"/>
    <mergeCell ref="A10113:B10113"/>
    <mergeCell ref="A10114:B10114"/>
    <mergeCell ref="A10115:B10115"/>
    <mergeCell ref="A10116:B10116"/>
    <mergeCell ref="A10117:B10117"/>
    <mergeCell ref="A10118:B10118"/>
    <mergeCell ref="A10119:B10119"/>
    <mergeCell ref="A10120:B10120"/>
    <mergeCell ref="A10121:B10121"/>
    <mergeCell ref="A10176:B10176"/>
    <mergeCell ref="A10177:B10177"/>
    <mergeCell ref="A10178:B10178"/>
    <mergeCell ref="A10179:B10179"/>
    <mergeCell ref="A10180:B10180"/>
    <mergeCell ref="A10181:B10181"/>
    <mergeCell ref="A10182:B10182"/>
    <mergeCell ref="A10183:B10183"/>
    <mergeCell ref="A10184:B10184"/>
    <mergeCell ref="A10167:B10167"/>
    <mergeCell ref="A10168:B10168"/>
    <mergeCell ref="A10169:B10169"/>
    <mergeCell ref="A10170:B10170"/>
    <mergeCell ref="A10171:B10171"/>
    <mergeCell ref="A10172:B10172"/>
    <mergeCell ref="A10173:B10173"/>
    <mergeCell ref="A10174:B10174"/>
    <mergeCell ref="A10175:B10175"/>
    <mergeCell ref="A10158:B10158"/>
    <mergeCell ref="A10159:B10159"/>
    <mergeCell ref="A10160:B10160"/>
    <mergeCell ref="A10161:B10161"/>
    <mergeCell ref="A10380:B10380"/>
    <mergeCell ref="A10381:B10381"/>
    <mergeCell ref="A10382:B10382"/>
    <mergeCell ref="A10383:B10383"/>
    <mergeCell ref="A10384:B10384"/>
    <mergeCell ref="A10385:B10385"/>
    <mergeCell ref="A10386:B10386"/>
    <mergeCell ref="A10369:B10369"/>
    <mergeCell ref="A10370:B10370"/>
    <mergeCell ref="A10371:B10371"/>
    <mergeCell ref="A10372:B10372"/>
    <mergeCell ref="A10373:B10373"/>
    <mergeCell ref="A10374:B10374"/>
    <mergeCell ref="A10375:B10375"/>
    <mergeCell ref="A10376:B10376"/>
    <mergeCell ref="A10377:B10377"/>
    <mergeCell ref="A10360:B10360"/>
    <mergeCell ref="A10361:B10361"/>
    <mergeCell ref="A10362:B10362"/>
    <mergeCell ref="A10363:B10363"/>
    <mergeCell ref="A10364:B10364"/>
    <mergeCell ref="A10365:B10365"/>
    <mergeCell ref="A10366:B10366"/>
    <mergeCell ref="A10367:B10367"/>
    <mergeCell ref="A10368:B10368"/>
    <mergeCell ref="A10351:B10351"/>
    <mergeCell ref="A10352:B10352"/>
    <mergeCell ref="A10353:B10353"/>
    <mergeCell ref="A10354:B10354"/>
    <mergeCell ref="A10355:B10355"/>
    <mergeCell ref="A10356:B10356"/>
    <mergeCell ref="A10357:B10357"/>
    <mergeCell ref="A10358:B10358"/>
    <mergeCell ref="A10359:B10359"/>
    <mergeCell ref="A10414:B10414"/>
    <mergeCell ref="A10415:B10415"/>
    <mergeCell ref="A10416:B10416"/>
    <mergeCell ref="A10417:B10417"/>
    <mergeCell ref="A10418:B10418"/>
    <mergeCell ref="A10419:B10419"/>
    <mergeCell ref="A10420:B10420"/>
    <mergeCell ref="A10421:B10421"/>
    <mergeCell ref="A10422:B10422"/>
    <mergeCell ref="A10405:B10405"/>
    <mergeCell ref="A10406:B10406"/>
    <mergeCell ref="A10407:B10407"/>
    <mergeCell ref="A10408:B10408"/>
    <mergeCell ref="A10409:B10409"/>
    <mergeCell ref="A10410:B10410"/>
    <mergeCell ref="A10411:B10411"/>
    <mergeCell ref="A10412:B10412"/>
    <mergeCell ref="A10413:B10413"/>
    <mergeCell ref="A10396:B10396"/>
    <mergeCell ref="A10397:B10397"/>
    <mergeCell ref="A10398:B10398"/>
    <mergeCell ref="A10399:B10399"/>
    <mergeCell ref="A10400:B10400"/>
    <mergeCell ref="A10401:B10401"/>
    <mergeCell ref="A10402:B10402"/>
    <mergeCell ref="A10403:B10403"/>
    <mergeCell ref="A10404:B10404"/>
    <mergeCell ref="A10387:B10387"/>
    <mergeCell ref="A10388:B10388"/>
    <mergeCell ref="A10389:B10389"/>
    <mergeCell ref="A10390:B10390"/>
    <mergeCell ref="A10391:B10391"/>
    <mergeCell ref="A10392:B10392"/>
    <mergeCell ref="A10393:B10393"/>
    <mergeCell ref="A10394:B10394"/>
    <mergeCell ref="A10395:B10395"/>
    <mergeCell ref="A10450:B10450"/>
    <mergeCell ref="A10451:B10451"/>
    <mergeCell ref="A10452:B10452"/>
    <mergeCell ref="A10453:B10453"/>
    <mergeCell ref="A10454:B10454"/>
    <mergeCell ref="A10455:B10455"/>
    <mergeCell ref="A10456:B10456"/>
    <mergeCell ref="A10457:B10457"/>
    <mergeCell ref="A10458:B10458"/>
    <mergeCell ref="A10441:B10441"/>
    <mergeCell ref="A10442:B10442"/>
    <mergeCell ref="A10443:B10443"/>
    <mergeCell ref="A10444:B10444"/>
    <mergeCell ref="A10445:B10445"/>
    <mergeCell ref="A10446:B10446"/>
    <mergeCell ref="A10447:B10447"/>
    <mergeCell ref="A10448:B10448"/>
    <mergeCell ref="A10449:B10449"/>
    <mergeCell ref="A10432:B10432"/>
    <mergeCell ref="A10433:B10433"/>
    <mergeCell ref="A10434:B10434"/>
    <mergeCell ref="A10435:B10435"/>
    <mergeCell ref="A10436:B10436"/>
    <mergeCell ref="A10437:B10437"/>
    <mergeCell ref="A10438:B10438"/>
    <mergeCell ref="A10439:B10439"/>
    <mergeCell ref="A10440:B10440"/>
    <mergeCell ref="A10423:B10423"/>
    <mergeCell ref="A10424:B10424"/>
    <mergeCell ref="A10425:B10425"/>
    <mergeCell ref="A10426:B10426"/>
    <mergeCell ref="A10427:B10427"/>
    <mergeCell ref="A10428:B10428"/>
    <mergeCell ref="A10429:B10429"/>
    <mergeCell ref="A10430:B10430"/>
    <mergeCell ref="A10431:B10431"/>
    <mergeCell ref="A10489:B10489"/>
    <mergeCell ref="A10490:B10490"/>
    <mergeCell ref="A10491:B10491"/>
    <mergeCell ref="A10492:B10492"/>
    <mergeCell ref="A10493:B10493"/>
    <mergeCell ref="A10494:B10494"/>
    <mergeCell ref="A10477:B10477"/>
    <mergeCell ref="A10478:B10478"/>
    <mergeCell ref="A10479:B10479"/>
    <mergeCell ref="A10480:B10480"/>
    <mergeCell ref="A10481:B10481"/>
    <mergeCell ref="A10482:B10482"/>
    <mergeCell ref="A10483:B10483"/>
    <mergeCell ref="A10484:B10484"/>
    <mergeCell ref="A10485:B10485"/>
    <mergeCell ref="A10468:B10468"/>
    <mergeCell ref="A10469:B10469"/>
    <mergeCell ref="A10470:B10470"/>
    <mergeCell ref="A10471:B10471"/>
    <mergeCell ref="A10472:B10472"/>
    <mergeCell ref="A10473:B10473"/>
    <mergeCell ref="A10474:B10474"/>
    <mergeCell ref="A10475:B10475"/>
    <mergeCell ref="A10476:B10476"/>
    <mergeCell ref="A10459:B10459"/>
    <mergeCell ref="A10460:B10460"/>
    <mergeCell ref="A10461:B10461"/>
    <mergeCell ref="A10462:B10462"/>
    <mergeCell ref="A10463:B10463"/>
    <mergeCell ref="A10464:B10464"/>
    <mergeCell ref="A10465:B10465"/>
    <mergeCell ref="A10466:B10466"/>
    <mergeCell ref="A10467:B10467"/>
    <mergeCell ref="A10514:B10514"/>
    <mergeCell ref="A10515:B10515"/>
    <mergeCell ref="A10516:B10516"/>
    <mergeCell ref="A10517:B10517"/>
    <mergeCell ref="A10518:B10518"/>
    <mergeCell ref="A10061:B10061"/>
    <mergeCell ref="A10062:B10062"/>
    <mergeCell ref="A10063:B10063"/>
    <mergeCell ref="A10064:B10064"/>
    <mergeCell ref="A10065:B10065"/>
    <mergeCell ref="A10066:B10066"/>
    <mergeCell ref="A10067:B10067"/>
    <mergeCell ref="A10068:B10068"/>
    <mergeCell ref="A10069:B10069"/>
    <mergeCell ref="A10070:B10070"/>
    <mergeCell ref="A10071:B10071"/>
    <mergeCell ref="A10072:B10072"/>
    <mergeCell ref="A10073:B10073"/>
    <mergeCell ref="A10074:B10074"/>
    <mergeCell ref="A10075:B10075"/>
    <mergeCell ref="A10076:B10076"/>
    <mergeCell ref="A10077:B10077"/>
    <mergeCell ref="A10078:B10078"/>
    <mergeCell ref="A10079:B10079"/>
    <mergeCell ref="A10495:B10495"/>
    <mergeCell ref="A10506:B10506"/>
    <mergeCell ref="A10507:B10507"/>
    <mergeCell ref="A10508:B10508"/>
    <mergeCell ref="A10509:B10509"/>
    <mergeCell ref="A10510:B10510"/>
    <mergeCell ref="A10511:B10511"/>
    <mergeCell ref="A10512:B10512"/>
    <mergeCell ref="A10513:B10513"/>
    <mergeCell ref="A10496:B10496"/>
    <mergeCell ref="A10497:B10497"/>
    <mergeCell ref="A10498:B10498"/>
    <mergeCell ref="A10499:B10499"/>
    <mergeCell ref="A10500:B10500"/>
    <mergeCell ref="A10501:B10501"/>
    <mergeCell ref="A10502:B10502"/>
    <mergeCell ref="A10503:B10503"/>
    <mergeCell ref="A10504:B10504"/>
    <mergeCell ref="A10505:B10505"/>
    <mergeCell ref="A10486:B10486"/>
    <mergeCell ref="A10487:B10487"/>
    <mergeCell ref="A10488:B10488"/>
    <mergeCell ref="A10140:B10140"/>
    <mergeCell ref="A10141:B10141"/>
    <mergeCell ref="A10142:B10142"/>
    <mergeCell ref="A10143:B10143"/>
    <mergeCell ref="A10144:B10144"/>
    <mergeCell ref="A10145:B10145"/>
    <mergeCell ref="A10146:B10146"/>
    <mergeCell ref="A10147:B10147"/>
    <mergeCell ref="A10148:B10148"/>
    <mergeCell ref="A10131:B10131"/>
    <mergeCell ref="A10132:B10132"/>
    <mergeCell ref="A10133:B10133"/>
    <mergeCell ref="A10134:B10134"/>
    <mergeCell ref="A10135:B10135"/>
    <mergeCell ref="A10136:B10136"/>
    <mergeCell ref="A10137:B10137"/>
    <mergeCell ref="A10138:B10138"/>
    <mergeCell ref="A10139:B10139"/>
    <mergeCell ref="A10228:B10228"/>
    <mergeCell ref="A10229:B10229"/>
    <mergeCell ref="A10212:B10212"/>
    <mergeCell ref="A10213:B10213"/>
    <mergeCell ref="A10214:B10214"/>
    <mergeCell ref="A10215:B10215"/>
    <mergeCell ref="A10216:B10216"/>
    <mergeCell ref="A10217:B10217"/>
    <mergeCell ref="A10218:B10218"/>
    <mergeCell ref="A10219:B10219"/>
    <mergeCell ref="A10220:B10220"/>
    <mergeCell ref="A10203:B10203"/>
    <mergeCell ref="A9869:B9869"/>
    <mergeCell ref="A9870:B9870"/>
    <mergeCell ref="A9871:B9871"/>
    <mergeCell ref="A9872:B9872"/>
    <mergeCell ref="A9873:B9873"/>
    <mergeCell ref="A9874:B9874"/>
    <mergeCell ref="A9875:B9875"/>
    <mergeCell ref="A9876:B9876"/>
    <mergeCell ref="A9877:B9877"/>
    <mergeCell ref="A9860:B9860"/>
    <mergeCell ref="A9861:B9861"/>
    <mergeCell ref="A9862:B9862"/>
    <mergeCell ref="A9863:B9863"/>
    <mergeCell ref="A9864:B9864"/>
    <mergeCell ref="A9865:B9865"/>
    <mergeCell ref="A9866:B9866"/>
    <mergeCell ref="A9867:B9867"/>
    <mergeCell ref="A9868:B9868"/>
    <mergeCell ref="A10284:B10284"/>
    <mergeCell ref="A9837:B9837"/>
    <mergeCell ref="A9838:B9838"/>
    <mergeCell ref="A9839:B9839"/>
    <mergeCell ref="A9840:B9840"/>
    <mergeCell ref="A9841:B9841"/>
    <mergeCell ref="A9842:B9842"/>
    <mergeCell ref="A9843:B9843"/>
    <mergeCell ref="A9844:B9844"/>
    <mergeCell ref="A9845:B9845"/>
    <mergeCell ref="A9846:B9846"/>
    <mergeCell ref="A9847:B9847"/>
    <mergeCell ref="A9848:B9848"/>
    <mergeCell ref="A9849:B9849"/>
    <mergeCell ref="A9850:B9850"/>
    <mergeCell ref="A9851:B9851"/>
    <mergeCell ref="A9852:B9852"/>
    <mergeCell ref="A9853:B9853"/>
    <mergeCell ref="A9854:B9854"/>
    <mergeCell ref="A9855:B9855"/>
    <mergeCell ref="A9856:B9856"/>
    <mergeCell ref="A9857:B9857"/>
    <mergeCell ref="A9858:B9858"/>
    <mergeCell ref="A9859:B9859"/>
    <mergeCell ref="A10275:B10275"/>
    <mergeCell ref="A10276:B10276"/>
    <mergeCell ref="A10277:B10277"/>
    <mergeCell ref="A10278:B10278"/>
    <mergeCell ref="A10279:B10279"/>
    <mergeCell ref="A10280:B10280"/>
    <mergeCell ref="A10281:B10281"/>
    <mergeCell ref="A10282:B10282"/>
    <mergeCell ref="A10283:B10283"/>
    <mergeCell ref="A10266:B10266"/>
    <mergeCell ref="A10267:B10267"/>
    <mergeCell ref="A10268:B10268"/>
    <mergeCell ref="A10269:B10269"/>
    <mergeCell ref="A10270:B10270"/>
    <mergeCell ref="A10271:B10271"/>
    <mergeCell ref="A10272:B10272"/>
    <mergeCell ref="A10273:B10273"/>
    <mergeCell ref="A10274:B10274"/>
    <mergeCell ref="A10257:B10257"/>
    <mergeCell ref="A10258:B10258"/>
    <mergeCell ref="A10259:B10259"/>
    <mergeCell ref="A10260:B10260"/>
    <mergeCell ref="A9905:B9905"/>
    <mergeCell ref="A9906:B9906"/>
    <mergeCell ref="A9907:B9907"/>
    <mergeCell ref="A9908:B9908"/>
    <mergeCell ref="A9909:B9909"/>
    <mergeCell ref="A9910:B9910"/>
    <mergeCell ref="A9911:B9911"/>
    <mergeCell ref="A9912:B9912"/>
    <mergeCell ref="A9913:B9913"/>
    <mergeCell ref="A9896:B9896"/>
    <mergeCell ref="A9897:B9897"/>
    <mergeCell ref="A9898:B9898"/>
    <mergeCell ref="A9899:B9899"/>
    <mergeCell ref="A9900:B9900"/>
    <mergeCell ref="A9901:B9901"/>
    <mergeCell ref="A9902:B9902"/>
    <mergeCell ref="A9903:B9903"/>
    <mergeCell ref="A9904:B9904"/>
    <mergeCell ref="A9887:B9887"/>
    <mergeCell ref="A9888:B9888"/>
    <mergeCell ref="A9889:B9889"/>
    <mergeCell ref="A9890:B9890"/>
    <mergeCell ref="A9891:B9891"/>
    <mergeCell ref="A9892:B9892"/>
    <mergeCell ref="A9893:B9893"/>
    <mergeCell ref="A9894:B9894"/>
    <mergeCell ref="A9895:B9895"/>
    <mergeCell ref="A9941:B9941"/>
    <mergeCell ref="A9942:B9942"/>
    <mergeCell ref="A9943:B9943"/>
    <mergeCell ref="A9944:B9944"/>
    <mergeCell ref="A9945:B9945"/>
    <mergeCell ref="A9946:B9946"/>
    <mergeCell ref="A9947:B9947"/>
    <mergeCell ref="A9948:B9948"/>
    <mergeCell ref="A9949:B9949"/>
    <mergeCell ref="A9932:B9932"/>
    <mergeCell ref="A9933:B9933"/>
    <mergeCell ref="A9934:B9934"/>
    <mergeCell ref="A9935:B9935"/>
    <mergeCell ref="A9936:B9936"/>
    <mergeCell ref="A9937:B9937"/>
    <mergeCell ref="A9938:B9938"/>
    <mergeCell ref="A9939:B9939"/>
    <mergeCell ref="A9940:B9940"/>
    <mergeCell ref="A9923:B9923"/>
    <mergeCell ref="A9924:B9924"/>
    <mergeCell ref="A9925:B9925"/>
    <mergeCell ref="A9926:B9926"/>
    <mergeCell ref="A9927:B9927"/>
    <mergeCell ref="A9928:B9928"/>
    <mergeCell ref="A9929:B9929"/>
    <mergeCell ref="A9955:B9955"/>
    <mergeCell ref="A9956:B9956"/>
    <mergeCell ref="A9957:B9957"/>
    <mergeCell ref="A9958:B9958"/>
    <mergeCell ref="A10026:B10026"/>
    <mergeCell ref="A10027:B10027"/>
    <mergeCell ref="A10028:B10028"/>
    <mergeCell ref="A10029:B10029"/>
    <mergeCell ref="A10030:B10030"/>
    <mergeCell ref="A10013:B10013"/>
    <mergeCell ref="A10014:B10014"/>
    <mergeCell ref="A10015:B10015"/>
    <mergeCell ref="A10016:B10016"/>
    <mergeCell ref="A10017:B10017"/>
    <mergeCell ref="A10018:B10018"/>
    <mergeCell ref="A10019:B10019"/>
    <mergeCell ref="A10020:B10020"/>
    <mergeCell ref="A10021:B10021"/>
    <mergeCell ref="A10004:B10004"/>
    <mergeCell ref="A10005:B10005"/>
    <mergeCell ref="A10006:B10006"/>
    <mergeCell ref="A10007:B10007"/>
    <mergeCell ref="A10008:B10008"/>
    <mergeCell ref="A10009:B10009"/>
    <mergeCell ref="A10010:B10010"/>
    <mergeCell ref="A10011:B10011"/>
    <mergeCell ref="A10012:B10012"/>
    <mergeCell ref="A9995:B9995"/>
    <mergeCell ref="A9996:B9996"/>
    <mergeCell ref="A9997:B9997"/>
    <mergeCell ref="A9998:B9998"/>
    <mergeCell ref="A9999:B9999"/>
    <mergeCell ref="A10000:B10000"/>
    <mergeCell ref="A10001:B10001"/>
    <mergeCell ref="A10002:B10002"/>
    <mergeCell ref="A10003:B10003"/>
    <mergeCell ref="A9986:B9986"/>
    <mergeCell ref="A9987:B9987"/>
    <mergeCell ref="A9988:B9988"/>
    <mergeCell ref="A9989:B9989"/>
    <mergeCell ref="A9990:B9990"/>
    <mergeCell ref="A9991:B9991"/>
    <mergeCell ref="A9992:B9992"/>
    <mergeCell ref="A9993:B9993"/>
    <mergeCell ref="A9994:B9994"/>
    <mergeCell ref="A8738:B8738"/>
    <mergeCell ref="A8739:B8739"/>
    <mergeCell ref="A8740:B8740"/>
    <mergeCell ref="A8741:B8741"/>
    <mergeCell ref="A8742:B8742"/>
    <mergeCell ref="A8743:B8743"/>
    <mergeCell ref="A8744:B8744"/>
    <mergeCell ref="A8745:B8745"/>
    <mergeCell ref="A8746:B8746"/>
    <mergeCell ref="A10058:B10058"/>
    <mergeCell ref="A10059:B10059"/>
    <mergeCell ref="A10060:B10060"/>
    <mergeCell ref="A8717:B8717"/>
    <mergeCell ref="A8718:B8718"/>
    <mergeCell ref="A8719:B8719"/>
    <mergeCell ref="A8720:B8720"/>
    <mergeCell ref="A8721:B8721"/>
    <mergeCell ref="A8722:B8722"/>
    <mergeCell ref="A8723:B8723"/>
    <mergeCell ref="A8724:B8724"/>
    <mergeCell ref="A8725:B8725"/>
    <mergeCell ref="A8726:B8726"/>
    <mergeCell ref="A8727:B8727"/>
    <mergeCell ref="A8728:B8728"/>
    <mergeCell ref="A8729:B8729"/>
    <mergeCell ref="A8730:B8730"/>
    <mergeCell ref="A8731:B8731"/>
    <mergeCell ref="A8732:B8732"/>
    <mergeCell ref="A8733:B8733"/>
    <mergeCell ref="A8734:B8734"/>
    <mergeCell ref="A8735:B8735"/>
    <mergeCell ref="A8736:B8736"/>
    <mergeCell ref="A8737:B8737"/>
    <mergeCell ref="A10049:B10049"/>
    <mergeCell ref="A10050:B10050"/>
    <mergeCell ref="A10051:B10051"/>
    <mergeCell ref="A10052:B10052"/>
    <mergeCell ref="A10053:B10053"/>
    <mergeCell ref="A10054:B10054"/>
    <mergeCell ref="A10055:B10055"/>
    <mergeCell ref="A10056:B10056"/>
    <mergeCell ref="A10057:B10057"/>
    <mergeCell ref="A10040:B10040"/>
    <mergeCell ref="A10041:B10041"/>
    <mergeCell ref="A10042:B10042"/>
    <mergeCell ref="A10043:B10043"/>
    <mergeCell ref="A10044:B10044"/>
    <mergeCell ref="A10045:B10045"/>
    <mergeCell ref="A10046:B10046"/>
    <mergeCell ref="A10047:B10047"/>
    <mergeCell ref="A10048:B10048"/>
    <mergeCell ref="A10031:B10031"/>
    <mergeCell ref="A10032:B10032"/>
    <mergeCell ref="A10033:B10033"/>
    <mergeCell ref="A10034:B10034"/>
    <mergeCell ref="A10035:B10035"/>
    <mergeCell ref="A10036:B10036"/>
    <mergeCell ref="A10037:B10037"/>
    <mergeCell ref="A10038:B10038"/>
    <mergeCell ref="A10039:B10039"/>
    <mergeCell ref="A10022:B10022"/>
    <mergeCell ref="A10023:B10023"/>
    <mergeCell ref="A10024:B10024"/>
    <mergeCell ref="A10025:B10025"/>
    <mergeCell ref="A8774:B8774"/>
    <mergeCell ref="A8775:B8775"/>
    <mergeCell ref="A8776:B8776"/>
    <mergeCell ref="A8777:B8777"/>
    <mergeCell ref="A8778:B8778"/>
    <mergeCell ref="A8779:B8779"/>
    <mergeCell ref="A8780:B8780"/>
    <mergeCell ref="A8781:B8781"/>
    <mergeCell ref="A8782:B8782"/>
    <mergeCell ref="A8765:B8765"/>
    <mergeCell ref="A8766:B8766"/>
    <mergeCell ref="A8767:B8767"/>
    <mergeCell ref="A8768:B8768"/>
    <mergeCell ref="A8769:B8769"/>
    <mergeCell ref="A8770:B8770"/>
    <mergeCell ref="A8771:B8771"/>
    <mergeCell ref="A8772:B8772"/>
    <mergeCell ref="A8773:B8773"/>
    <mergeCell ref="A8756:B8756"/>
    <mergeCell ref="A8757:B8757"/>
    <mergeCell ref="A8758:B8758"/>
    <mergeCell ref="A8759:B8759"/>
    <mergeCell ref="A8760:B8760"/>
    <mergeCell ref="A8761:B8761"/>
    <mergeCell ref="A8762:B8762"/>
    <mergeCell ref="A8763:B8763"/>
    <mergeCell ref="A8764:B8764"/>
    <mergeCell ref="A8747:B8747"/>
    <mergeCell ref="A8748:B8748"/>
    <mergeCell ref="A8749:B8749"/>
    <mergeCell ref="A8750:B8750"/>
    <mergeCell ref="A8751:B8751"/>
    <mergeCell ref="A8752:B8752"/>
    <mergeCell ref="A8753:B8753"/>
    <mergeCell ref="A8754:B8754"/>
    <mergeCell ref="A8755:B8755"/>
    <mergeCell ref="A8810:B8810"/>
    <mergeCell ref="A8811:B8811"/>
    <mergeCell ref="A8812:B8812"/>
    <mergeCell ref="A8813:B8813"/>
    <mergeCell ref="A8814:B8814"/>
    <mergeCell ref="A8815:B8815"/>
    <mergeCell ref="A8816:B8816"/>
    <mergeCell ref="A8817:B8817"/>
    <mergeCell ref="A8818:B8818"/>
    <mergeCell ref="A8801:B8801"/>
    <mergeCell ref="A8802:B8802"/>
    <mergeCell ref="A8803:B8803"/>
    <mergeCell ref="A8804:B8804"/>
    <mergeCell ref="A8805:B8805"/>
    <mergeCell ref="A8806:B8806"/>
    <mergeCell ref="A8807:B8807"/>
    <mergeCell ref="A8808:B8808"/>
    <mergeCell ref="A8809:B8809"/>
    <mergeCell ref="A8792:B8792"/>
    <mergeCell ref="A8793:B8793"/>
    <mergeCell ref="A8794:B8794"/>
    <mergeCell ref="A8795:B8795"/>
    <mergeCell ref="A8796:B8796"/>
    <mergeCell ref="A8797:B8797"/>
    <mergeCell ref="A8798:B8798"/>
    <mergeCell ref="A8799:B8799"/>
    <mergeCell ref="A8800:B8800"/>
    <mergeCell ref="A8783:B8783"/>
    <mergeCell ref="A8784:B8784"/>
    <mergeCell ref="A8785:B8785"/>
    <mergeCell ref="A8786:B8786"/>
    <mergeCell ref="A8787:B8787"/>
    <mergeCell ref="A8788:B8788"/>
    <mergeCell ref="A8789:B8789"/>
    <mergeCell ref="A8790:B8790"/>
    <mergeCell ref="A8791:B8791"/>
    <mergeCell ref="A8846:B8846"/>
    <mergeCell ref="A8847:B8847"/>
    <mergeCell ref="A8848:B8848"/>
    <mergeCell ref="A8849:B8849"/>
    <mergeCell ref="A8850:B8850"/>
    <mergeCell ref="A8851:B8851"/>
    <mergeCell ref="A8852:B8852"/>
    <mergeCell ref="A8853:B8853"/>
    <mergeCell ref="A8854:B8854"/>
    <mergeCell ref="A8837:B8837"/>
    <mergeCell ref="A8838:B8838"/>
    <mergeCell ref="A8839:B8839"/>
    <mergeCell ref="A8840:B8840"/>
    <mergeCell ref="A8841:B8841"/>
    <mergeCell ref="A8842:B8842"/>
    <mergeCell ref="A8843:B8843"/>
    <mergeCell ref="A8844:B8844"/>
    <mergeCell ref="A8845:B8845"/>
    <mergeCell ref="A8828:B8828"/>
    <mergeCell ref="A8829:B8829"/>
    <mergeCell ref="A8830:B8830"/>
    <mergeCell ref="A8831:B8831"/>
    <mergeCell ref="A8832:B8832"/>
    <mergeCell ref="A8833:B8833"/>
    <mergeCell ref="A8834:B8834"/>
    <mergeCell ref="A8835:B8835"/>
    <mergeCell ref="A8836:B8836"/>
    <mergeCell ref="A8819:B8819"/>
    <mergeCell ref="A8820:B8820"/>
    <mergeCell ref="A8821:B8821"/>
    <mergeCell ref="A8822:B8822"/>
    <mergeCell ref="A8823:B8823"/>
    <mergeCell ref="A8824:B8824"/>
    <mergeCell ref="A8825:B8825"/>
    <mergeCell ref="A8826:B8826"/>
    <mergeCell ref="A8827:B8827"/>
    <mergeCell ref="A8882:B8882"/>
    <mergeCell ref="A8883:B8883"/>
    <mergeCell ref="A8884:B8884"/>
    <mergeCell ref="A8885:B8885"/>
    <mergeCell ref="A8886:B8886"/>
    <mergeCell ref="A8887:B8887"/>
    <mergeCell ref="A8888:B8888"/>
    <mergeCell ref="A8889:B8889"/>
    <mergeCell ref="A8890:B8890"/>
    <mergeCell ref="A8873:B8873"/>
    <mergeCell ref="A8874:B8874"/>
    <mergeCell ref="A8875:B8875"/>
    <mergeCell ref="A8876:B8876"/>
    <mergeCell ref="A8877:B8877"/>
    <mergeCell ref="A8878:B8878"/>
    <mergeCell ref="A8879:B8879"/>
    <mergeCell ref="A8880:B8880"/>
    <mergeCell ref="A8881:B8881"/>
    <mergeCell ref="A8864:B8864"/>
    <mergeCell ref="A8865:B8865"/>
    <mergeCell ref="A8866:B8866"/>
    <mergeCell ref="A8867:B8867"/>
    <mergeCell ref="A8868:B8868"/>
    <mergeCell ref="A8869:B8869"/>
    <mergeCell ref="A8870:B8870"/>
    <mergeCell ref="A8871:B8871"/>
    <mergeCell ref="A8872:B8872"/>
    <mergeCell ref="A8855:B8855"/>
    <mergeCell ref="A8856:B8856"/>
    <mergeCell ref="A8857:B8857"/>
    <mergeCell ref="A8858:B8858"/>
    <mergeCell ref="A8859:B8859"/>
    <mergeCell ref="A8860:B8860"/>
    <mergeCell ref="A8861:B8861"/>
    <mergeCell ref="A8862:B8862"/>
    <mergeCell ref="A8863:B8863"/>
    <mergeCell ref="A8918:B8918"/>
    <mergeCell ref="A8919:B8919"/>
    <mergeCell ref="A8920:B8920"/>
    <mergeCell ref="A8921:B8921"/>
    <mergeCell ref="A8922:B8922"/>
    <mergeCell ref="A8923:B8923"/>
    <mergeCell ref="A8924:B8924"/>
    <mergeCell ref="A8925:B8925"/>
    <mergeCell ref="A8926:B8926"/>
    <mergeCell ref="A8909:B8909"/>
    <mergeCell ref="A8910:B8910"/>
    <mergeCell ref="A8911:B8911"/>
    <mergeCell ref="A8912:B8912"/>
    <mergeCell ref="A8913:B8913"/>
    <mergeCell ref="A8914:B8914"/>
    <mergeCell ref="A8915:B8915"/>
    <mergeCell ref="A8916:B8916"/>
    <mergeCell ref="A8917:B8917"/>
    <mergeCell ref="A8900:B8900"/>
    <mergeCell ref="A8901:B8901"/>
    <mergeCell ref="A8902:B8902"/>
    <mergeCell ref="A8903:B8903"/>
    <mergeCell ref="A8904:B8904"/>
    <mergeCell ref="A8905:B8905"/>
    <mergeCell ref="A8906:B8906"/>
    <mergeCell ref="A8907:B8907"/>
    <mergeCell ref="A8908:B8908"/>
    <mergeCell ref="A8891:B8891"/>
    <mergeCell ref="A8892:B8892"/>
    <mergeCell ref="A8893:B8893"/>
    <mergeCell ref="A8894:B8894"/>
    <mergeCell ref="A8895:B8895"/>
    <mergeCell ref="A8896:B8896"/>
    <mergeCell ref="A8897:B8897"/>
    <mergeCell ref="A8898:B8898"/>
    <mergeCell ref="A8899:B8899"/>
    <mergeCell ref="A8954:B8954"/>
    <mergeCell ref="A8955:B8955"/>
    <mergeCell ref="A8956:B8956"/>
    <mergeCell ref="A8957:B8957"/>
    <mergeCell ref="A8958:B8958"/>
    <mergeCell ref="A8959:B8959"/>
    <mergeCell ref="A8960:B8960"/>
    <mergeCell ref="A8961:B8961"/>
    <mergeCell ref="A8962:B8962"/>
    <mergeCell ref="A8945:B8945"/>
    <mergeCell ref="A8946:B8946"/>
    <mergeCell ref="A8947:B8947"/>
    <mergeCell ref="A8948:B8948"/>
    <mergeCell ref="A8949:B8949"/>
    <mergeCell ref="A8950:B8950"/>
    <mergeCell ref="A8951:B8951"/>
    <mergeCell ref="A8952:B8952"/>
    <mergeCell ref="A8953:B8953"/>
    <mergeCell ref="A8936:B8936"/>
    <mergeCell ref="A8937:B8937"/>
    <mergeCell ref="A8938:B8938"/>
    <mergeCell ref="A8939:B8939"/>
    <mergeCell ref="A8940:B8940"/>
    <mergeCell ref="A8941:B8941"/>
    <mergeCell ref="A8942:B8942"/>
    <mergeCell ref="A8943:B8943"/>
    <mergeCell ref="A8944:B8944"/>
    <mergeCell ref="A8927:B8927"/>
    <mergeCell ref="A8928:B8928"/>
    <mergeCell ref="A8929:B8929"/>
    <mergeCell ref="A8930:B8930"/>
    <mergeCell ref="A8931:B8931"/>
    <mergeCell ref="A8932:B8932"/>
    <mergeCell ref="A8933:B8933"/>
    <mergeCell ref="A8934:B8934"/>
    <mergeCell ref="A8935:B8935"/>
    <mergeCell ref="A8990:B8990"/>
    <mergeCell ref="A8991:B8991"/>
    <mergeCell ref="A8992:B8992"/>
    <mergeCell ref="A8993:B8993"/>
    <mergeCell ref="A8994:B8994"/>
    <mergeCell ref="A8995:B8995"/>
    <mergeCell ref="A8996:B8996"/>
    <mergeCell ref="A8997:B8997"/>
    <mergeCell ref="A8998:B8998"/>
    <mergeCell ref="A8981:B8981"/>
    <mergeCell ref="A8982:B8982"/>
    <mergeCell ref="A8983:B8983"/>
    <mergeCell ref="A8984:B8984"/>
    <mergeCell ref="A8985:B8985"/>
    <mergeCell ref="A8986:B8986"/>
    <mergeCell ref="A8987:B8987"/>
    <mergeCell ref="A8988:B8988"/>
    <mergeCell ref="A8989:B8989"/>
    <mergeCell ref="A8972:B8972"/>
    <mergeCell ref="A8973:B8973"/>
    <mergeCell ref="A8974:B8974"/>
    <mergeCell ref="A8975:B8975"/>
    <mergeCell ref="A8976:B8976"/>
    <mergeCell ref="A8977:B8977"/>
    <mergeCell ref="A8978:B8978"/>
    <mergeCell ref="A8979:B8979"/>
    <mergeCell ref="A8980:B8980"/>
    <mergeCell ref="A8963:B8963"/>
    <mergeCell ref="A8964:B8964"/>
    <mergeCell ref="A8965:B8965"/>
    <mergeCell ref="A8966:B8966"/>
    <mergeCell ref="A8967:B8967"/>
    <mergeCell ref="A8968:B8968"/>
    <mergeCell ref="A8969:B8969"/>
    <mergeCell ref="A8970:B8970"/>
    <mergeCell ref="A8971:B8971"/>
    <mergeCell ref="A9026:B9026"/>
    <mergeCell ref="A9027:B9027"/>
    <mergeCell ref="A9028:B9028"/>
    <mergeCell ref="A9029:B9029"/>
    <mergeCell ref="A9030:B9030"/>
    <mergeCell ref="A9031:B9031"/>
    <mergeCell ref="A9032:B9032"/>
    <mergeCell ref="A9033:B9033"/>
    <mergeCell ref="A9034:B9034"/>
    <mergeCell ref="A9017:B9017"/>
    <mergeCell ref="A9018:B9018"/>
    <mergeCell ref="A9019:B9019"/>
    <mergeCell ref="A9020:B9020"/>
    <mergeCell ref="A9021:B9021"/>
    <mergeCell ref="A9022:B9022"/>
    <mergeCell ref="A9023:B9023"/>
    <mergeCell ref="A9024:B9024"/>
    <mergeCell ref="A9025:B9025"/>
    <mergeCell ref="A9008:B9008"/>
    <mergeCell ref="A9009:B9009"/>
    <mergeCell ref="A9010:B9010"/>
    <mergeCell ref="A9011:B9011"/>
    <mergeCell ref="A9012:B9012"/>
    <mergeCell ref="A9013:B9013"/>
    <mergeCell ref="A9014:B9014"/>
    <mergeCell ref="A9015:B9015"/>
    <mergeCell ref="A9016:B9016"/>
    <mergeCell ref="A8999:B8999"/>
    <mergeCell ref="A9000:B9000"/>
    <mergeCell ref="A9001:B9001"/>
    <mergeCell ref="A9002:B9002"/>
    <mergeCell ref="A9003:B9003"/>
    <mergeCell ref="A9004:B9004"/>
    <mergeCell ref="A9005:B9005"/>
    <mergeCell ref="A9006:B9006"/>
    <mergeCell ref="A9007:B9007"/>
    <mergeCell ref="A9062:B9062"/>
    <mergeCell ref="A9063:B9063"/>
    <mergeCell ref="A9064:B9064"/>
    <mergeCell ref="A9065:B9065"/>
    <mergeCell ref="A9066:B9066"/>
    <mergeCell ref="A9067:B9067"/>
    <mergeCell ref="A9068:B9068"/>
    <mergeCell ref="A9069:B9069"/>
    <mergeCell ref="A9070:B9070"/>
    <mergeCell ref="A9053:B9053"/>
    <mergeCell ref="A9054:B9054"/>
    <mergeCell ref="A9055:B9055"/>
    <mergeCell ref="A9056:B9056"/>
    <mergeCell ref="A9057:B9057"/>
    <mergeCell ref="A9058:B9058"/>
    <mergeCell ref="A9059:B9059"/>
    <mergeCell ref="A9060:B9060"/>
    <mergeCell ref="A9061:B9061"/>
    <mergeCell ref="A9044:B9044"/>
    <mergeCell ref="A9045:B9045"/>
    <mergeCell ref="A9046:B9046"/>
    <mergeCell ref="A9047:B9047"/>
    <mergeCell ref="A9048:B9048"/>
    <mergeCell ref="A9049:B9049"/>
    <mergeCell ref="A9050:B9050"/>
    <mergeCell ref="A9051:B9051"/>
    <mergeCell ref="A9052:B9052"/>
    <mergeCell ref="A9035:B9035"/>
    <mergeCell ref="A9036:B9036"/>
    <mergeCell ref="A9037:B9037"/>
    <mergeCell ref="A9038:B9038"/>
    <mergeCell ref="A9039:B9039"/>
    <mergeCell ref="A9040:B9040"/>
    <mergeCell ref="A9041:B9041"/>
    <mergeCell ref="A9042:B9042"/>
    <mergeCell ref="A9043:B9043"/>
    <mergeCell ref="A9098:B9098"/>
    <mergeCell ref="A9099:B9099"/>
    <mergeCell ref="A9100:B9100"/>
    <mergeCell ref="A9101:B9101"/>
    <mergeCell ref="A9102:B9102"/>
    <mergeCell ref="A9103:B9103"/>
    <mergeCell ref="A9104:B9104"/>
    <mergeCell ref="A9105:B9105"/>
    <mergeCell ref="A9106:B9106"/>
    <mergeCell ref="A9089:B9089"/>
    <mergeCell ref="A9090:B9090"/>
    <mergeCell ref="A9091:B9091"/>
    <mergeCell ref="A9092:B9092"/>
    <mergeCell ref="A9093:B9093"/>
    <mergeCell ref="A9094:B9094"/>
    <mergeCell ref="A9095:B9095"/>
    <mergeCell ref="A9096:B9096"/>
    <mergeCell ref="A9097:B9097"/>
    <mergeCell ref="A9080:B9080"/>
    <mergeCell ref="A9081:B9081"/>
    <mergeCell ref="A9082:B9082"/>
    <mergeCell ref="A9083:B9083"/>
    <mergeCell ref="A9084:B9084"/>
    <mergeCell ref="A9085:B9085"/>
    <mergeCell ref="A9086:B9086"/>
    <mergeCell ref="A9087:B9087"/>
    <mergeCell ref="A9088:B9088"/>
    <mergeCell ref="A9071:B9071"/>
    <mergeCell ref="A9072:B9072"/>
    <mergeCell ref="A9073:B9073"/>
    <mergeCell ref="A9074:B9074"/>
    <mergeCell ref="A9075:B9075"/>
    <mergeCell ref="A9076:B9076"/>
    <mergeCell ref="A9077:B9077"/>
    <mergeCell ref="A9078:B9078"/>
    <mergeCell ref="A9079:B9079"/>
    <mergeCell ref="A9134:B9134"/>
    <mergeCell ref="A9135:B9135"/>
    <mergeCell ref="A9136:B9136"/>
    <mergeCell ref="A9137:B9137"/>
    <mergeCell ref="A9138:B9138"/>
    <mergeCell ref="A9139:B9139"/>
    <mergeCell ref="A9140:B9140"/>
    <mergeCell ref="A9141:B9141"/>
    <mergeCell ref="A9142:B9142"/>
    <mergeCell ref="A9125:B9125"/>
    <mergeCell ref="A9126:B9126"/>
    <mergeCell ref="A9127:B9127"/>
    <mergeCell ref="A9128:B9128"/>
    <mergeCell ref="A9129:B9129"/>
    <mergeCell ref="A9130:B9130"/>
    <mergeCell ref="A9131:B9131"/>
    <mergeCell ref="A9132:B9132"/>
    <mergeCell ref="A9133:B9133"/>
    <mergeCell ref="A9116:B9116"/>
    <mergeCell ref="A9117:B9117"/>
    <mergeCell ref="A9118:B9118"/>
    <mergeCell ref="A9119:B9119"/>
    <mergeCell ref="A9120:B9120"/>
    <mergeCell ref="A9121:B9121"/>
    <mergeCell ref="A9122:B9122"/>
    <mergeCell ref="A9123:B9123"/>
    <mergeCell ref="A9124:B9124"/>
    <mergeCell ref="A9107:B9107"/>
    <mergeCell ref="A9108:B9108"/>
    <mergeCell ref="A9109:B9109"/>
    <mergeCell ref="A9110:B9110"/>
    <mergeCell ref="A9111:B9111"/>
    <mergeCell ref="A9112:B9112"/>
    <mergeCell ref="A9113:B9113"/>
    <mergeCell ref="A9114:B9114"/>
    <mergeCell ref="A9115:B9115"/>
    <mergeCell ref="A9170:B9170"/>
    <mergeCell ref="A9171:B9171"/>
    <mergeCell ref="A9172:B9172"/>
    <mergeCell ref="A9173:B9173"/>
    <mergeCell ref="A9174:B9174"/>
    <mergeCell ref="A9175:B9175"/>
    <mergeCell ref="A9176:B9176"/>
    <mergeCell ref="A9177:B9177"/>
    <mergeCell ref="A9178:B9178"/>
    <mergeCell ref="A9161:B9161"/>
    <mergeCell ref="A9162:B9162"/>
    <mergeCell ref="A9163:B9163"/>
    <mergeCell ref="A9164:B9164"/>
    <mergeCell ref="A9165:B9165"/>
    <mergeCell ref="A9166:B9166"/>
    <mergeCell ref="A9167:B9167"/>
    <mergeCell ref="A9168:B9168"/>
    <mergeCell ref="A9169:B9169"/>
    <mergeCell ref="A9152:B9152"/>
    <mergeCell ref="A9153:B9153"/>
    <mergeCell ref="A9154:B9154"/>
    <mergeCell ref="A9155:B9155"/>
    <mergeCell ref="A9156:B9156"/>
    <mergeCell ref="A9157:B9157"/>
    <mergeCell ref="A9158:B9158"/>
    <mergeCell ref="A9159:B9159"/>
    <mergeCell ref="A9160:B9160"/>
    <mergeCell ref="A9143:B9143"/>
    <mergeCell ref="A9144:B9144"/>
    <mergeCell ref="A9145:B9145"/>
    <mergeCell ref="A9146:B9146"/>
    <mergeCell ref="A9147:B9147"/>
    <mergeCell ref="A9148:B9148"/>
    <mergeCell ref="A9149:B9149"/>
    <mergeCell ref="A9150:B9150"/>
    <mergeCell ref="A9151:B9151"/>
    <mergeCell ref="A9206:B9206"/>
    <mergeCell ref="A9207:B9207"/>
    <mergeCell ref="A9208:B9208"/>
    <mergeCell ref="A9209:B9209"/>
    <mergeCell ref="A9210:B9210"/>
    <mergeCell ref="A9211:B9211"/>
    <mergeCell ref="A9212:B9212"/>
    <mergeCell ref="A9213:B9213"/>
    <mergeCell ref="A9214:B9214"/>
    <mergeCell ref="A9197:B9197"/>
    <mergeCell ref="A9198:B9198"/>
    <mergeCell ref="A9199:B9199"/>
    <mergeCell ref="A9200:B9200"/>
    <mergeCell ref="A9201:B9201"/>
    <mergeCell ref="A9202:B9202"/>
    <mergeCell ref="A9203:B9203"/>
    <mergeCell ref="A9204:B9204"/>
    <mergeCell ref="A9205:B9205"/>
    <mergeCell ref="A9188:B9188"/>
    <mergeCell ref="A9189:B9189"/>
    <mergeCell ref="A9190:B9190"/>
    <mergeCell ref="A9191:B9191"/>
    <mergeCell ref="A9192:B9192"/>
    <mergeCell ref="A9193:B9193"/>
    <mergeCell ref="A9194:B9194"/>
    <mergeCell ref="A9195:B9195"/>
    <mergeCell ref="A9196:B9196"/>
    <mergeCell ref="A9179:B9179"/>
    <mergeCell ref="A9180:B9180"/>
    <mergeCell ref="A9181:B9181"/>
    <mergeCell ref="A9182:B9182"/>
    <mergeCell ref="A9183:B9183"/>
    <mergeCell ref="A9184:B9184"/>
    <mergeCell ref="A9185:B9185"/>
    <mergeCell ref="A9186:B9186"/>
    <mergeCell ref="A9187:B9187"/>
    <mergeCell ref="A9242:B9242"/>
    <mergeCell ref="A9243:B9243"/>
    <mergeCell ref="A9244:B9244"/>
    <mergeCell ref="A9245:B9245"/>
    <mergeCell ref="A9246:B9246"/>
    <mergeCell ref="A9247:B9247"/>
    <mergeCell ref="A9248:B9248"/>
    <mergeCell ref="A9249:B9249"/>
    <mergeCell ref="A9250:B9250"/>
    <mergeCell ref="A9233:B9233"/>
    <mergeCell ref="A9234:B9234"/>
    <mergeCell ref="A9235:B9235"/>
    <mergeCell ref="A9236:B9236"/>
    <mergeCell ref="A9237:B9237"/>
    <mergeCell ref="A9238:B9238"/>
    <mergeCell ref="A9239:B9239"/>
    <mergeCell ref="A9240:B9240"/>
    <mergeCell ref="A9241:B9241"/>
    <mergeCell ref="A9224:B9224"/>
    <mergeCell ref="A9225:B9225"/>
    <mergeCell ref="A9226:B9226"/>
    <mergeCell ref="A9227:B9227"/>
    <mergeCell ref="A9228:B9228"/>
    <mergeCell ref="A9229:B9229"/>
    <mergeCell ref="A9230:B9230"/>
    <mergeCell ref="A9231:B9231"/>
    <mergeCell ref="A9232:B9232"/>
    <mergeCell ref="A9215:B9215"/>
    <mergeCell ref="A9216:B9216"/>
    <mergeCell ref="A9217:B9217"/>
    <mergeCell ref="A9218:B9218"/>
    <mergeCell ref="A9219:B9219"/>
    <mergeCell ref="A9220:B9220"/>
    <mergeCell ref="A9221:B9221"/>
    <mergeCell ref="A9222:B9222"/>
    <mergeCell ref="A9223:B9223"/>
    <mergeCell ref="A9278:B9278"/>
    <mergeCell ref="A9279:B9279"/>
    <mergeCell ref="A9280:B9280"/>
    <mergeCell ref="A9281:B9281"/>
    <mergeCell ref="A9282:B9282"/>
    <mergeCell ref="A9283:B9283"/>
    <mergeCell ref="A9284:B9284"/>
    <mergeCell ref="A9285:B9285"/>
    <mergeCell ref="A9286:B9286"/>
    <mergeCell ref="A9269:B9269"/>
    <mergeCell ref="A9270:B9270"/>
    <mergeCell ref="A9271:B9271"/>
    <mergeCell ref="A9272:B9272"/>
    <mergeCell ref="A9273:B9273"/>
    <mergeCell ref="A9274:B9274"/>
    <mergeCell ref="A9275:B9275"/>
    <mergeCell ref="A9276:B9276"/>
    <mergeCell ref="A9277:B9277"/>
    <mergeCell ref="A9260:B9260"/>
    <mergeCell ref="A9261:B9261"/>
    <mergeCell ref="A9262:B9262"/>
    <mergeCell ref="A9263:B9263"/>
    <mergeCell ref="A9264:B9264"/>
    <mergeCell ref="A9265:B9265"/>
    <mergeCell ref="A9266:B9266"/>
    <mergeCell ref="A9267:B9267"/>
    <mergeCell ref="A9268:B9268"/>
    <mergeCell ref="A9251:B9251"/>
    <mergeCell ref="A9252:B9252"/>
    <mergeCell ref="A9253:B9253"/>
    <mergeCell ref="A9254:B9254"/>
    <mergeCell ref="A9255:B9255"/>
    <mergeCell ref="A9256:B9256"/>
    <mergeCell ref="A9257:B9257"/>
    <mergeCell ref="A9258:B9258"/>
    <mergeCell ref="A9259:B9259"/>
    <mergeCell ref="A9314:B9314"/>
    <mergeCell ref="A9315:B9315"/>
    <mergeCell ref="A9316:B9316"/>
    <mergeCell ref="A9317:B9317"/>
    <mergeCell ref="A9318:B9318"/>
    <mergeCell ref="A9319:B9319"/>
    <mergeCell ref="A9320:B9320"/>
    <mergeCell ref="A9321:B9321"/>
    <mergeCell ref="A9322:B9322"/>
    <mergeCell ref="A9305:B9305"/>
    <mergeCell ref="A9306:B9306"/>
    <mergeCell ref="A9307:B9307"/>
    <mergeCell ref="A9308:B9308"/>
    <mergeCell ref="A9309:B9309"/>
    <mergeCell ref="A9310:B9310"/>
    <mergeCell ref="A9311:B9311"/>
    <mergeCell ref="A9312:B9312"/>
    <mergeCell ref="A9313:B9313"/>
    <mergeCell ref="A9296:B9296"/>
    <mergeCell ref="A9297:B9297"/>
    <mergeCell ref="A9298:B9298"/>
    <mergeCell ref="A9299:B9299"/>
    <mergeCell ref="A9300:B9300"/>
    <mergeCell ref="A9301:B9301"/>
    <mergeCell ref="A9302:B9302"/>
    <mergeCell ref="A9303:B9303"/>
    <mergeCell ref="A9304:B9304"/>
    <mergeCell ref="A9287:B9287"/>
    <mergeCell ref="A9288:B9288"/>
    <mergeCell ref="A9289:B9289"/>
    <mergeCell ref="A9290:B9290"/>
    <mergeCell ref="A9291:B9291"/>
    <mergeCell ref="A9292:B9292"/>
    <mergeCell ref="A9293:B9293"/>
    <mergeCell ref="A9294:B9294"/>
    <mergeCell ref="A9295:B9295"/>
    <mergeCell ref="A9350:B9350"/>
    <mergeCell ref="A9351:B9351"/>
    <mergeCell ref="A9352:B9352"/>
    <mergeCell ref="A9353:B9353"/>
    <mergeCell ref="A9354:B9354"/>
    <mergeCell ref="A9355:B9355"/>
    <mergeCell ref="A9356:B9356"/>
    <mergeCell ref="A9357:B9357"/>
    <mergeCell ref="A9358:B9358"/>
    <mergeCell ref="A9341:B9341"/>
    <mergeCell ref="A9342:B9342"/>
    <mergeCell ref="A9343:B9343"/>
    <mergeCell ref="A9344:B9344"/>
    <mergeCell ref="A9345:B9345"/>
    <mergeCell ref="A9346:B9346"/>
    <mergeCell ref="A9347:B9347"/>
    <mergeCell ref="A9348:B9348"/>
    <mergeCell ref="A9349:B9349"/>
    <mergeCell ref="A9332:B9332"/>
    <mergeCell ref="A9333:B9333"/>
    <mergeCell ref="A9334:B9334"/>
    <mergeCell ref="A9335:B9335"/>
    <mergeCell ref="A9336:B9336"/>
    <mergeCell ref="A9337:B9337"/>
    <mergeCell ref="A9338:B9338"/>
    <mergeCell ref="A9339:B9339"/>
    <mergeCell ref="A9340:B9340"/>
    <mergeCell ref="A9323:B9323"/>
    <mergeCell ref="A9324:B9324"/>
    <mergeCell ref="A9325:B9325"/>
    <mergeCell ref="A9326:B9326"/>
    <mergeCell ref="A9327:B9327"/>
    <mergeCell ref="A9328:B9328"/>
    <mergeCell ref="A9329:B9329"/>
    <mergeCell ref="A9330:B9330"/>
    <mergeCell ref="A9331:B9331"/>
    <mergeCell ref="A9386:B9386"/>
    <mergeCell ref="A9387:B9387"/>
    <mergeCell ref="A9388:B9388"/>
    <mergeCell ref="A9389:B9389"/>
    <mergeCell ref="A9390:B9390"/>
    <mergeCell ref="A9391:B9391"/>
    <mergeCell ref="A9392:B9392"/>
    <mergeCell ref="A9393:B9393"/>
    <mergeCell ref="A9394:B9394"/>
    <mergeCell ref="A9377:B9377"/>
    <mergeCell ref="A9378:B9378"/>
    <mergeCell ref="A9379:B9379"/>
    <mergeCell ref="A9380:B9380"/>
    <mergeCell ref="A9381:B9381"/>
    <mergeCell ref="A9382:B9382"/>
    <mergeCell ref="A9383:B9383"/>
    <mergeCell ref="A9384:B9384"/>
    <mergeCell ref="A9385:B9385"/>
    <mergeCell ref="A9368:B9368"/>
    <mergeCell ref="A9369:B9369"/>
    <mergeCell ref="A9370:B9370"/>
    <mergeCell ref="A9371:B9371"/>
    <mergeCell ref="A9372:B9372"/>
    <mergeCell ref="A9373:B9373"/>
    <mergeCell ref="A9374:B9374"/>
    <mergeCell ref="A9375:B9375"/>
    <mergeCell ref="A9376:B9376"/>
    <mergeCell ref="A9359:B9359"/>
    <mergeCell ref="A9360:B9360"/>
    <mergeCell ref="A9361:B9361"/>
    <mergeCell ref="A9362:B9362"/>
    <mergeCell ref="A9363:B9363"/>
    <mergeCell ref="A9364:B9364"/>
    <mergeCell ref="A9365:B9365"/>
    <mergeCell ref="A9366:B9366"/>
    <mergeCell ref="A9367:B9367"/>
    <mergeCell ref="A9422:B9422"/>
    <mergeCell ref="A9423:B9423"/>
    <mergeCell ref="A9424:B9424"/>
    <mergeCell ref="A9425:B9425"/>
    <mergeCell ref="A9426:B9426"/>
    <mergeCell ref="A9427:B9427"/>
    <mergeCell ref="A9428:B9428"/>
    <mergeCell ref="A9429:B9429"/>
    <mergeCell ref="A9430:B9430"/>
    <mergeCell ref="A9413:B9413"/>
    <mergeCell ref="A9414:B9414"/>
    <mergeCell ref="A9415:B9415"/>
    <mergeCell ref="A9416:B9416"/>
    <mergeCell ref="A9417:B9417"/>
    <mergeCell ref="A9418:B9418"/>
    <mergeCell ref="A9419:B9419"/>
    <mergeCell ref="A9420:B9420"/>
    <mergeCell ref="A9421:B9421"/>
    <mergeCell ref="A9404:B9404"/>
    <mergeCell ref="A9405:B9405"/>
    <mergeCell ref="A9406:B9406"/>
    <mergeCell ref="A9407:B9407"/>
    <mergeCell ref="A9408:B9408"/>
    <mergeCell ref="A9409:B9409"/>
    <mergeCell ref="A9410:B9410"/>
    <mergeCell ref="A9411:B9411"/>
    <mergeCell ref="A9412:B9412"/>
    <mergeCell ref="A9395:B9395"/>
    <mergeCell ref="A9396:B9396"/>
    <mergeCell ref="A9397:B9397"/>
    <mergeCell ref="A9398:B9398"/>
    <mergeCell ref="A9399:B9399"/>
    <mergeCell ref="A9400:B9400"/>
    <mergeCell ref="A9401:B9401"/>
    <mergeCell ref="A9402:B9402"/>
    <mergeCell ref="A9403:B9403"/>
    <mergeCell ref="A9458:B9458"/>
    <mergeCell ref="A9459:B9459"/>
    <mergeCell ref="A9460:B9460"/>
    <mergeCell ref="A9461:B9461"/>
    <mergeCell ref="A9462:B9462"/>
    <mergeCell ref="A9463:B9463"/>
    <mergeCell ref="A9464:B9464"/>
    <mergeCell ref="A9465:B9465"/>
    <mergeCell ref="A9466:B9466"/>
    <mergeCell ref="A9449:B9449"/>
    <mergeCell ref="A9450:B9450"/>
    <mergeCell ref="A9451:B9451"/>
    <mergeCell ref="A9452:B9452"/>
    <mergeCell ref="A9453:B9453"/>
    <mergeCell ref="A9454:B9454"/>
    <mergeCell ref="A9455:B9455"/>
    <mergeCell ref="A9456:B9456"/>
    <mergeCell ref="A9457:B9457"/>
    <mergeCell ref="A9440:B9440"/>
    <mergeCell ref="A9441:B9441"/>
    <mergeCell ref="A9442:B9442"/>
    <mergeCell ref="A9443:B9443"/>
    <mergeCell ref="A9444:B9444"/>
    <mergeCell ref="A9445:B9445"/>
    <mergeCell ref="A9446:B9446"/>
    <mergeCell ref="A9447:B9447"/>
    <mergeCell ref="A9448:B9448"/>
    <mergeCell ref="A9431:B9431"/>
    <mergeCell ref="A9432:B9432"/>
    <mergeCell ref="A9433:B9433"/>
    <mergeCell ref="A9434:B9434"/>
    <mergeCell ref="A9435:B9435"/>
    <mergeCell ref="A9436:B9436"/>
    <mergeCell ref="A9437:B9437"/>
    <mergeCell ref="A9438:B9438"/>
    <mergeCell ref="A9439:B9439"/>
    <mergeCell ref="A9494:B9494"/>
    <mergeCell ref="A9495:B9495"/>
    <mergeCell ref="A9496:B9496"/>
    <mergeCell ref="A9497:B9497"/>
    <mergeCell ref="A9498:B9498"/>
    <mergeCell ref="A9499:B9499"/>
    <mergeCell ref="A9500:B9500"/>
    <mergeCell ref="A9501:B9501"/>
    <mergeCell ref="A9502:B9502"/>
    <mergeCell ref="A9485:B9485"/>
    <mergeCell ref="A9486:B9486"/>
    <mergeCell ref="A9487:B9487"/>
    <mergeCell ref="A9488:B9488"/>
    <mergeCell ref="A9489:B9489"/>
    <mergeCell ref="A9490:B9490"/>
    <mergeCell ref="A9491:B9491"/>
    <mergeCell ref="A9492:B9492"/>
    <mergeCell ref="A9493:B9493"/>
    <mergeCell ref="A9476:B9476"/>
    <mergeCell ref="A9477:B9477"/>
    <mergeCell ref="A9478:B9478"/>
    <mergeCell ref="A9479:B9479"/>
    <mergeCell ref="A9480:B9480"/>
    <mergeCell ref="A9481:B9481"/>
    <mergeCell ref="A9482:B9482"/>
    <mergeCell ref="A9483:B9483"/>
    <mergeCell ref="A9484:B9484"/>
    <mergeCell ref="A9467:B9467"/>
    <mergeCell ref="A9468:B9468"/>
    <mergeCell ref="A9469:B9469"/>
    <mergeCell ref="A9470:B9470"/>
    <mergeCell ref="A9471:B9471"/>
    <mergeCell ref="A9472:B9472"/>
    <mergeCell ref="A9473:B9473"/>
    <mergeCell ref="A9474:B9474"/>
    <mergeCell ref="A9475:B9475"/>
    <mergeCell ref="A9530:B9530"/>
    <mergeCell ref="A9531:B9531"/>
    <mergeCell ref="A9532:B9532"/>
    <mergeCell ref="A9533:B9533"/>
    <mergeCell ref="A9534:B9534"/>
    <mergeCell ref="A9535:B9535"/>
    <mergeCell ref="A9536:B9536"/>
    <mergeCell ref="A9537:B9537"/>
    <mergeCell ref="A9538:B9538"/>
    <mergeCell ref="A9521:B9521"/>
    <mergeCell ref="A9522:B9522"/>
    <mergeCell ref="A9523:B9523"/>
    <mergeCell ref="A9524:B9524"/>
    <mergeCell ref="A9525:B9525"/>
    <mergeCell ref="A9526:B9526"/>
    <mergeCell ref="A9527:B9527"/>
    <mergeCell ref="A9528:B9528"/>
    <mergeCell ref="A9529:B9529"/>
    <mergeCell ref="A9512:B9512"/>
    <mergeCell ref="A9513:B9513"/>
    <mergeCell ref="A9514:B9514"/>
    <mergeCell ref="A9515:B9515"/>
    <mergeCell ref="A9516:B9516"/>
    <mergeCell ref="A9517:B9517"/>
    <mergeCell ref="A9518:B9518"/>
    <mergeCell ref="A9519:B9519"/>
    <mergeCell ref="A9520:B9520"/>
    <mergeCell ref="A9503:B9503"/>
    <mergeCell ref="A9504:B9504"/>
    <mergeCell ref="A9505:B9505"/>
    <mergeCell ref="A9506:B9506"/>
    <mergeCell ref="A9507:B9507"/>
    <mergeCell ref="A9508:B9508"/>
    <mergeCell ref="A9509:B9509"/>
    <mergeCell ref="A9510:B9510"/>
    <mergeCell ref="A9511:B9511"/>
    <mergeCell ref="A9579:B9579"/>
    <mergeCell ref="A9580:B9580"/>
    <mergeCell ref="A9581:B9581"/>
    <mergeCell ref="A9582:B9582"/>
    <mergeCell ref="A9583:B9583"/>
    <mergeCell ref="A9566:B9566"/>
    <mergeCell ref="A9567:B9567"/>
    <mergeCell ref="A9568:B9568"/>
    <mergeCell ref="A9569:B9569"/>
    <mergeCell ref="A9570:B9570"/>
    <mergeCell ref="A9571:B9571"/>
    <mergeCell ref="A9572:B9572"/>
    <mergeCell ref="A9573:B9573"/>
    <mergeCell ref="A9574:B9574"/>
    <mergeCell ref="A9557:B9557"/>
    <mergeCell ref="A9558:B9558"/>
    <mergeCell ref="A9559:B9559"/>
    <mergeCell ref="A9560:B9560"/>
    <mergeCell ref="A9561:B9561"/>
    <mergeCell ref="A9562:B9562"/>
    <mergeCell ref="A9563:B9563"/>
    <mergeCell ref="A9564:B9564"/>
    <mergeCell ref="A9565:B9565"/>
    <mergeCell ref="A9548:B9548"/>
    <mergeCell ref="A9549:B9549"/>
    <mergeCell ref="A9550:B9550"/>
    <mergeCell ref="A9551:B9551"/>
    <mergeCell ref="A9552:B9552"/>
    <mergeCell ref="A9553:B9553"/>
    <mergeCell ref="A9554:B9554"/>
    <mergeCell ref="A9555:B9555"/>
    <mergeCell ref="A9556:B9556"/>
    <mergeCell ref="A9539:B9539"/>
    <mergeCell ref="A9540:B9540"/>
    <mergeCell ref="A9541:B9541"/>
    <mergeCell ref="A9542:B9542"/>
    <mergeCell ref="A9543:B9543"/>
    <mergeCell ref="A9544:B9544"/>
    <mergeCell ref="A9545:B9545"/>
    <mergeCell ref="A9546:B9546"/>
    <mergeCell ref="A9547:B9547"/>
    <mergeCell ref="A7843:B7843"/>
    <mergeCell ref="A7844:B7844"/>
    <mergeCell ref="A7845:B7845"/>
    <mergeCell ref="A7846:B7846"/>
    <mergeCell ref="A7847:B7847"/>
    <mergeCell ref="A7848:B7848"/>
    <mergeCell ref="A7849:B7849"/>
    <mergeCell ref="A7850:B7850"/>
    <mergeCell ref="A7851:B7851"/>
    <mergeCell ref="A9611:B9611"/>
    <mergeCell ref="A9612:B9612"/>
    <mergeCell ref="A7821:B7821"/>
    <mergeCell ref="A7822:B7822"/>
    <mergeCell ref="A7823:B7823"/>
    <mergeCell ref="A7824:B7824"/>
    <mergeCell ref="A7825:B7825"/>
    <mergeCell ref="A7826:B7826"/>
    <mergeCell ref="A7827:B7827"/>
    <mergeCell ref="A7828:B7828"/>
    <mergeCell ref="A7829:B7829"/>
    <mergeCell ref="A7830:B7830"/>
    <mergeCell ref="A7831:B7831"/>
    <mergeCell ref="A7832:B7832"/>
    <mergeCell ref="A7833:B7833"/>
    <mergeCell ref="A7834:B7834"/>
    <mergeCell ref="A7835:B7835"/>
    <mergeCell ref="A7836:B7836"/>
    <mergeCell ref="A7837:B7837"/>
    <mergeCell ref="A7838:B7838"/>
    <mergeCell ref="A7839:B7839"/>
    <mergeCell ref="A7840:B7840"/>
    <mergeCell ref="A7841:B7841"/>
    <mergeCell ref="A7842:B7842"/>
    <mergeCell ref="A9602:B9602"/>
    <mergeCell ref="A9603:B9603"/>
    <mergeCell ref="A9604:B9604"/>
    <mergeCell ref="A9605:B9605"/>
    <mergeCell ref="A9606:B9606"/>
    <mergeCell ref="A9607:B9607"/>
    <mergeCell ref="A9608:B9608"/>
    <mergeCell ref="A9609:B9609"/>
    <mergeCell ref="A9610:B9610"/>
    <mergeCell ref="A9593:B9593"/>
    <mergeCell ref="A9594:B9594"/>
    <mergeCell ref="A9595:B9595"/>
    <mergeCell ref="A9596:B9596"/>
    <mergeCell ref="A9597:B9597"/>
    <mergeCell ref="A9598:B9598"/>
    <mergeCell ref="A9599:B9599"/>
    <mergeCell ref="A9600:B9600"/>
    <mergeCell ref="A9601:B9601"/>
    <mergeCell ref="A9584:B9584"/>
    <mergeCell ref="A9585:B9585"/>
    <mergeCell ref="A9586:B9586"/>
    <mergeCell ref="A9587:B9587"/>
    <mergeCell ref="A9588:B9588"/>
    <mergeCell ref="A9589:B9589"/>
    <mergeCell ref="A9590:B9590"/>
    <mergeCell ref="A9591:B9591"/>
    <mergeCell ref="A9592:B9592"/>
    <mergeCell ref="A9575:B9575"/>
    <mergeCell ref="A9576:B9576"/>
    <mergeCell ref="A9577:B9577"/>
    <mergeCell ref="A9578:B9578"/>
    <mergeCell ref="A7879:B7879"/>
    <mergeCell ref="A7880:B7880"/>
    <mergeCell ref="A7881:B7881"/>
    <mergeCell ref="A7882:B7882"/>
    <mergeCell ref="A7883:B7883"/>
    <mergeCell ref="A7884:B7884"/>
    <mergeCell ref="A7885:B7885"/>
    <mergeCell ref="A7886:B7886"/>
    <mergeCell ref="A7887:B7887"/>
    <mergeCell ref="A7870:B7870"/>
    <mergeCell ref="A7871:B7871"/>
    <mergeCell ref="A7872:B7872"/>
    <mergeCell ref="A7873:B7873"/>
    <mergeCell ref="A7874:B7874"/>
    <mergeCell ref="A7875:B7875"/>
    <mergeCell ref="A7876:B7876"/>
    <mergeCell ref="A7877:B7877"/>
    <mergeCell ref="A7878:B7878"/>
    <mergeCell ref="A7861:B7861"/>
    <mergeCell ref="A7862:B7862"/>
    <mergeCell ref="A7863:B7863"/>
    <mergeCell ref="A7864:B7864"/>
    <mergeCell ref="A7865:B7865"/>
    <mergeCell ref="A7866:B7866"/>
    <mergeCell ref="A7867:B7867"/>
    <mergeCell ref="A7868:B7868"/>
    <mergeCell ref="A7869:B7869"/>
    <mergeCell ref="A7852:B7852"/>
    <mergeCell ref="A7853:B7853"/>
    <mergeCell ref="A7854:B7854"/>
    <mergeCell ref="A7855:B7855"/>
    <mergeCell ref="A7856:B7856"/>
    <mergeCell ref="A7857:B7857"/>
    <mergeCell ref="A7858:B7858"/>
    <mergeCell ref="A7859:B7859"/>
    <mergeCell ref="A7860:B7860"/>
    <mergeCell ref="A7915:B7915"/>
    <mergeCell ref="A7916:B7916"/>
    <mergeCell ref="A7917:B7917"/>
    <mergeCell ref="A7918:B7918"/>
    <mergeCell ref="A7919:B7919"/>
    <mergeCell ref="A7920:B7920"/>
    <mergeCell ref="A7921:B7921"/>
    <mergeCell ref="A7922:B7922"/>
    <mergeCell ref="A7923:B7923"/>
    <mergeCell ref="A7906:B7906"/>
    <mergeCell ref="A7907:B7907"/>
    <mergeCell ref="A7908:B7908"/>
    <mergeCell ref="A7909:B7909"/>
    <mergeCell ref="A7910:B7910"/>
    <mergeCell ref="A7911:B7911"/>
    <mergeCell ref="A7912:B7912"/>
    <mergeCell ref="A7913:B7913"/>
    <mergeCell ref="A7914:B7914"/>
    <mergeCell ref="A7897:B7897"/>
    <mergeCell ref="A7898:B7898"/>
    <mergeCell ref="A7899:B7899"/>
    <mergeCell ref="A7900:B7900"/>
    <mergeCell ref="A7901:B7901"/>
    <mergeCell ref="A7902:B7902"/>
    <mergeCell ref="A7903:B7903"/>
    <mergeCell ref="A7904:B7904"/>
    <mergeCell ref="A7905:B7905"/>
    <mergeCell ref="A7888:B7888"/>
    <mergeCell ref="A7889:B7889"/>
    <mergeCell ref="A7890:B7890"/>
    <mergeCell ref="A7891:B7891"/>
    <mergeCell ref="A7892:B7892"/>
    <mergeCell ref="A7893:B7893"/>
    <mergeCell ref="A7894:B7894"/>
    <mergeCell ref="A7895:B7895"/>
    <mergeCell ref="A7896:B7896"/>
    <mergeCell ref="A7951:B7951"/>
    <mergeCell ref="A7952:B7952"/>
    <mergeCell ref="A7953:B7953"/>
    <mergeCell ref="A7954:B7954"/>
    <mergeCell ref="A7955:B7955"/>
    <mergeCell ref="A7956:B7956"/>
    <mergeCell ref="A7957:B7957"/>
    <mergeCell ref="A7958:B7958"/>
    <mergeCell ref="A7959:B7959"/>
    <mergeCell ref="A7942:B7942"/>
    <mergeCell ref="A7943:B7943"/>
    <mergeCell ref="A7944:B7944"/>
    <mergeCell ref="A7945:B7945"/>
    <mergeCell ref="A7946:B7946"/>
    <mergeCell ref="A7947:B7947"/>
    <mergeCell ref="A7948:B7948"/>
    <mergeCell ref="A7949:B7949"/>
    <mergeCell ref="A7950:B7950"/>
    <mergeCell ref="A7933:B7933"/>
    <mergeCell ref="A7934:B7934"/>
    <mergeCell ref="A7935:B7935"/>
    <mergeCell ref="A7936:B7936"/>
    <mergeCell ref="A7937:B7937"/>
    <mergeCell ref="A7938:B7938"/>
    <mergeCell ref="A7939:B7939"/>
    <mergeCell ref="A7940:B7940"/>
    <mergeCell ref="A7941:B7941"/>
    <mergeCell ref="A7924:B7924"/>
    <mergeCell ref="A7925:B7925"/>
    <mergeCell ref="A7926:B7926"/>
    <mergeCell ref="A7927:B7927"/>
    <mergeCell ref="A7928:B7928"/>
    <mergeCell ref="A7929:B7929"/>
    <mergeCell ref="A7930:B7930"/>
    <mergeCell ref="A7931:B7931"/>
    <mergeCell ref="A7932:B7932"/>
    <mergeCell ref="A7987:B7987"/>
    <mergeCell ref="A7988:B7988"/>
    <mergeCell ref="A7989:B7989"/>
    <mergeCell ref="A7990:B7990"/>
    <mergeCell ref="A7991:B7991"/>
    <mergeCell ref="A7992:B7992"/>
    <mergeCell ref="A7993:B7993"/>
    <mergeCell ref="A7994:B7994"/>
    <mergeCell ref="A7995:B7995"/>
    <mergeCell ref="A7978:B7978"/>
    <mergeCell ref="A7979:B7979"/>
    <mergeCell ref="A7980:B7980"/>
    <mergeCell ref="A7981:B7981"/>
    <mergeCell ref="A7982:B7982"/>
    <mergeCell ref="A7983:B7983"/>
    <mergeCell ref="A7984:B7984"/>
    <mergeCell ref="A7985:B7985"/>
    <mergeCell ref="A7986:B7986"/>
    <mergeCell ref="A7969:B7969"/>
    <mergeCell ref="A7970:B7970"/>
    <mergeCell ref="A7971:B7971"/>
    <mergeCell ref="A7972:B7972"/>
    <mergeCell ref="A7973:B7973"/>
    <mergeCell ref="A7974:B7974"/>
    <mergeCell ref="A7975:B7975"/>
    <mergeCell ref="A7976:B7976"/>
    <mergeCell ref="A7977:B7977"/>
    <mergeCell ref="A7960:B7960"/>
    <mergeCell ref="A7961:B7961"/>
    <mergeCell ref="A7962:B7962"/>
    <mergeCell ref="A7963:B7963"/>
    <mergeCell ref="A7964:B7964"/>
    <mergeCell ref="A7965:B7965"/>
    <mergeCell ref="A7966:B7966"/>
    <mergeCell ref="A7967:B7967"/>
    <mergeCell ref="A7968:B7968"/>
    <mergeCell ref="A8023:B8023"/>
    <mergeCell ref="A8024:B8024"/>
    <mergeCell ref="A8025:B8025"/>
    <mergeCell ref="A8026:B8026"/>
    <mergeCell ref="A8027:B8027"/>
    <mergeCell ref="A8028:B8028"/>
    <mergeCell ref="A8029:B8029"/>
    <mergeCell ref="A8030:B8030"/>
    <mergeCell ref="A8031:B8031"/>
    <mergeCell ref="A8014:B8014"/>
    <mergeCell ref="A8015:B8015"/>
    <mergeCell ref="A8016:B8016"/>
    <mergeCell ref="A8017:B8017"/>
    <mergeCell ref="A8018:B8018"/>
    <mergeCell ref="A8019:B8019"/>
    <mergeCell ref="A8020:B8020"/>
    <mergeCell ref="A8021:B8021"/>
    <mergeCell ref="A8022:B8022"/>
    <mergeCell ref="A8005:B8005"/>
    <mergeCell ref="A8006:B8006"/>
    <mergeCell ref="A8007:B8007"/>
    <mergeCell ref="A8008:B8008"/>
    <mergeCell ref="A8009:B8009"/>
    <mergeCell ref="A8010:B8010"/>
    <mergeCell ref="A8011:B8011"/>
    <mergeCell ref="A8012:B8012"/>
    <mergeCell ref="A8013:B8013"/>
    <mergeCell ref="A7996:B7996"/>
    <mergeCell ref="A7997:B7997"/>
    <mergeCell ref="A7998:B7998"/>
    <mergeCell ref="A7999:B7999"/>
    <mergeCell ref="A8000:B8000"/>
    <mergeCell ref="A8001:B8001"/>
    <mergeCell ref="A8002:B8002"/>
    <mergeCell ref="A8003:B8003"/>
    <mergeCell ref="A8004:B8004"/>
    <mergeCell ref="A8059:B8059"/>
    <mergeCell ref="A8060:B8060"/>
    <mergeCell ref="A8061:B8061"/>
    <mergeCell ref="A8062:B8062"/>
    <mergeCell ref="A8063:B8063"/>
    <mergeCell ref="A8064:B8064"/>
    <mergeCell ref="A8065:B8065"/>
    <mergeCell ref="A8066:B8066"/>
    <mergeCell ref="A8067:B8067"/>
    <mergeCell ref="A8050:B8050"/>
    <mergeCell ref="A8051:B8051"/>
    <mergeCell ref="A8052:B8052"/>
    <mergeCell ref="A8053:B8053"/>
    <mergeCell ref="A8054:B8054"/>
    <mergeCell ref="A8055:B8055"/>
    <mergeCell ref="A8056:B8056"/>
    <mergeCell ref="A8057:B8057"/>
    <mergeCell ref="A8058:B8058"/>
    <mergeCell ref="A8041:B8041"/>
    <mergeCell ref="A8042:B8042"/>
    <mergeCell ref="A8043:B8043"/>
    <mergeCell ref="A8044:B8044"/>
    <mergeCell ref="A8045:B8045"/>
    <mergeCell ref="A8046:B8046"/>
    <mergeCell ref="A8047:B8047"/>
    <mergeCell ref="A8048:B8048"/>
    <mergeCell ref="A8049:B8049"/>
    <mergeCell ref="A8032:B8032"/>
    <mergeCell ref="A8033:B8033"/>
    <mergeCell ref="A8034:B8034"/>
    <mergeCell ref="A8035:B8035"/>
    <mergeCell ref="A8036:B8036"/>
    <mergeCell ref="A8037:B8037"/>
    <mergeCell ref="A8038:B8038"/>
    <mergeCell ref="A8039:B8039"/>
    <mergeCell ref="A8040:B8040"/>
    <mergeCell ref="A8095:B8095"/>
    <mergeCell ref="A8096:B8096"/>
    <mergeCell ref="A8097:B8097"/>
    <mergeCell ref="A8098:B8098"/>
    <mergeCell ref="A8099:B8099"/>
    <mergeCell ref="A8100:B8100"/>
    <mergeCell ref="A8101:B8101"/>
    <mergeCell ref="A8102:B8102"/>
    <mergeCell ref="A8103:B8103"/>
    <mergeCell ref="A8086:B8086"/>
    <mergeCell ref="A8087:B8087"/>
    <mergeCell ref="A8088:B8088"/>
    <mergeCell ref="A8089:B8089"/>
    <mergeCell ref="A8090:B8090"/>
    <mergeCell ref="A8091:B8091"/>
    <mergeCell ref="A8092:B8092"/>
    <mergeCell ref="A8093:B8093"/>
    <mergeCell ref="A8094:B8094"/>
    <mergeCell ref="A8077:B8077"/>
    <mergeCell ref="A8078:B8078"/>
    <mergeCell ref="A8079:B8079"/>
    <mergeCell ref="A8080:B8080"/>
    <mergeCell ref="A8081:B8081"/>
    <mergeCell ref="A8082:B8082"/>
    <mergeCell ref="A8083:B8083"/>
    <mergeCell ref="A8084:B8084"/>
    <mergeCell ref="A8085:B8085"/>
    <mergeCell ref="A8068:B8068"/>
    <mergeCell ref="A8069:B8069"/>
    <mergeCell ref="A8070:B8070"/>
    <mergeCell ref="A8071:B8071"/>
    <mergeCell ref="A8072:B8072"/>
    <mergeCell ref="A8073:B8073"/>
    <mergeCell ref="A8074:B8074"/>
    <mergeCell ref="A8075:B8075"/>
    <mergeCell ref="A8076:B8076"/>
    <mergeCell ref="A8131:B8131"/>
    <mergeCell ref="A8132:B8132"/>
    <mergeCell ref="A8133:B8133"/>
    <mergeCell ref="A8134:B8134"/>
    <mergeCell ref="A8135:B8135"/>
    <mergeCell ref="A8136:B8136"/>
    <mergeCell ref="A8137:B8137"/>
    <mergeCell ref="A8138:B8138"/>
    <mergeCell ref="A8139:B8139"/>
    <mergeCell ref="A8122:B8122"/>
    <mergeCell ref="A8123:B8123"/>
    <mergeCell ref="A8124:B8124"/>
    <mergeCell ref="A8125:B8125"/>
    <mergeCell ref="A8126:B8126"/>
    <mergeCell ref="A8127:B8127"/>
    <mergeCell ref="A8128:B8128"/>
    <mergeCell ref="A8129:B8129"/>
    <mergeCell ref="A8130:B8130"/>
    <mergeCell ref="A8113:B8113"/>
    <mergeCell ref="A8114:B8114"/>
    <mergeCell ref="A8115:B8115"/>
    <mergeCell ref="A8116:B8116"/>
    <mergeCell ref="A8117:B8117"/>
    <mergeCell ref="A8118:B8118"/>
    <mergeCell ref="A8119:B8119"/>
    <mergeCell ref="A8120:B8120"/>
    <mergeCell ref="A8121:B8121"/>
    <mergeCell ref="A8104:B8104"/>
    <mergeCell ref="A8105:B8105"/>
    <mergeCell ref="A8106:B8106"/>
    <mergeCell ref="A8107:B8107"/>
    <mergeCell ref="A8108:B8108"/>
    <mergeCell ref="A8109:B8109"/>
    <mergeCell ref="A8110:B8110"/>
    <mergeCell ref="A8111:B8111"/>
    <mergeCell ref="A8112:B8112"/>
    <mergeCell ref="A8167:B8167"/>
    <mergeCell ref="A8168:B8168"/>
    <mergeCell ref="A8169:B8169"/>
    <mergeCell ref="A8170:B8170"/>
    <mergeCell ref="A8171:B8171"/>
    <mergeCell ref="A8172:B8172"/>
    <mergeCell ref="A8173:B8173"/>
    <mergeCell ref="A8174:B8174"/>
    <mergeCell ref="A8175:B8175"/>
    <mergeCell ref="A8158:B8158"/>
    <mergeCell ref="A8159:B8159"/>
    <mergeCell ref="A8160:B8160"/>
    <mergeCell ref="A8161:B8161"/>
    <mergeCell ref="A8162:B8162"/>
    <mergeCell ref="A8163:B8163"/>
    <mergeCell ref="A8164:B8164"/>
    <mergeCell ref="A8165:B8165"/>
    <mergeCell ref="A8166:B8166"/>
    <mergeCell ref="A8149:B8149"/>
    <mergeCell ref="A8150:B8150"/>
    <mergeCell ref="A8151:B8151"/>
    <mergeCell ref="A8152:B8152"/>
    <mergeCell ref="A8153:B8153"/>
    <mergeCell ref="A8154:B8154"/>
    <mergeCell ref="A8155:B8155"/>
    <mergeCell ref="A8156:B8156"/>
    <mergeCell ref="A8157:B8157"/>
    <mergeCell ref="A8140:B8140"/>
    <mergeCell ref="A8141:B8141"/>
    <mergeCell ref="A8142:B8142"/>
    <mergeCell ref="A8143:B8143"/>
    <mergeCell ref="A8144:B8144"/>
    <mergeCell ref="A8145:B8145"/>
    <mergeCell ref="A8146:B8146"/>
    <mergeCell ref="A8147:B8147"/>
    <mergeCell ref="A8148:B8148"/>
    <mergeCell ref="A8203:B8203"/>
    <mergeCell ref="A8204:B8204"/>
    <mergeCell ref="A8205:B8205"/>
    <mergeCell ref="A8206:B8206"/>
    <mergeCell ref="A8207:B8207"/>
    <mergeCell ref="A8208:B8208"/>
    <mergeCell ref="A8209:B8209"/>
    <mergeCell ref="A8210:B8210"/>
    <mergeCell ref="A8211:B8211"/>
    <mergeCell ref="A8194:B8194"/>
    <mergeCell ref="A8195:B8195"/>
    <mergeCell ref="A8196:B8196"/>
    <mergeCell ref="A8197:B8197"/>
    <mergeCell ref="A8198:B8198"/>
    <mergeCell ref="A8199:B8199"/>
    <mergeCell ref="A8200:B8200"/>
    <mergeCell ref="A8201:B8201"/>
    <mergeCell ref="A8202:B8202"/>
    <mergeCell ref="A8185:B8185"/>
    <mergeCell ref="A8186:B8186"/>
    <mergeCell ref="A8187:B8187"/>
    <mergeCell ref="A8188:B8188"/>
    <mergeCell ref="A8189:B8189"/>
    <mergeCell ref="A8190:B8190"/>
    <mergeCell ref="A8191:B8191"/>
    <mergeCell ref="A8192:B8192"/>
    <mergeCell ref="A8193:B8193"/>
    <mergeCell ref="A8176:B8176"/>
    <mergeCell ref="A8177:B8177"/>
    <mergeCell ref="A8178:B8178"/>
    <mergeCell ref="A8179:B8179"/>
    <mergeCell ref="A8180:B8180"/>
    <mergeCell ref="A8181:B8181"/>
    <mergeCell ref="A8182:B8182"/>
    <mergeCell ref="A8183:B8183"/>
    <mergeCell ref="A8184:B8184"/>
    <mergeCell ref="A8239:B8239"/>
    <mergeCell ref="A8240:B8240"/>
    <mergeCell ref="A8241:B8241"/>
    <mergeCell ref="A8242:B8242"/>
    <mergeCell ref="A8243:B8243"/>
    <mergeCell ref="A8244:B8244"/>
    <mergeCell ref="A8245:B8245"/>
    <mergeCell ref="A8246:B8246"/>
    <mergeCell ref="A8247:B8247"/>
    <mergeCell ref="A8230:B8230"/>
    <mergeCell ref="A8231:B8231"/>
    <mergeCell ref="A8232:B8232"/>
    <mergeCell ref="A8233:B8233"/>
    <mergeCell ref="A8234:B8234"/>
    <mergeCell ref="A8235:B8235"/>
    <mergeCell ref="A8236:B8236"/>
    <mergeCell ref="A8237:B8237"/>
    <mergeCell ref="A8238:B8238"/>
    <mergeCell ref="A8221:B8221"/>
    <mergeCell ref="A8222:B8222"/>
    <mergeCell ref="A8223:B8223"/>
    <mergeCell ref="A8224:B8224"/>
    <mergeCell ref="A8225:B8225"/>
    <mergeCell ref="A8226:B8226"/>
    <mergeCell ref="A8227:B8227"/>
    <mergeCell ref="A8228:B8228"/>
    <mergeCell ref="A8229:B8229"/>
    <mergeCell ref="A8212:B8212"/>
    <mergeCell ref="A8213:B8213"/>
    <mergeCell ref="A8214:B8214"/>
    <mergeCell ref="A8215:B8215"/>
    <mergeCell ref="A8216:B8216"/>
    <mergeCell ref="A8217:B8217"/>
    <mergeCell ref="A8218:B8218"/>
    <mergeCell ref="A8219:B8219"/>
    <mergeCell ref="A8220:B8220"/>
    <mergeCell ref="A8275:B8275"/>
    <mergeCell ref="A8276:B8276"/>
    <mergeCell ref="A8277:B8277"/>
    <mergeCell ref="A8278:B8278"/>
    <mergeCell ref="A8279:B8279"/>
    <mergeCell ref="A8280:B8280"/>
    <mergeCell ref="A8281:B8281"/>
    <mergeCell ref="A8282:B8282"/>
    <mergeCell ref="A8283:B8283"/>
    <mergeCell ref="A8266:B8266"/>
    <mergeCell ref="A8267:B8267"/>
    <mergeCell ref="A8268:B8268"/>
    <mergeCell ref="A8269:B8269"/>
    <mergeCell ref="A8270:B8270"/>
    <mergeCell ref="A8271:B8271"/>
    <mergeCell ref="A8272:B8272"/>
    <mergeCell ref="A8273:B8273"/>
    <mergeCell ref="A8274:B8274"/>
    <mergeCell ref="A8257:B8257"/>
    <mergeCell ref="A8258:B8258"/>
    <mergeCell ref="A8259:B8259"/>
    <mergeCell ref="A8260:B8260"/>
    <mergeCell ref="A8261:B8261"/>
    <mergeCell ref="A8262:B8262"/>
    <mergeCell ref="A8263:B8263"/>
    <mergeCell ref="A8264:B8264"/>
    <mergeCell ref="A8265:B8265"/>
    <mergeCell ref="A8248:B8248"/>
    <mergeCell ref="A8249:B8249"/>
    <mergeCell ref="A8250:B8250"/>
    <mergeCell ref="A8251:B8251"/>
    <mergeCell ref="A8252:B8252"/>
    <mergeCell ref="A8253:B8253"/>
    <mergeCell ref="A8254:B8254"/>
    <mergeCell ref="A8255:B8255"/>
    <mergeCell ref="A8256:B8256"/>
    <mergeCell ref="A8311:B8311"/>
    <mergeCell ref="A8312:B8312"/>
    <mergeCell ref="A8313:B8313"/>
    <mergeCell ref="A8314:B8314"/>
    <mergeCell ref="A8315:B8315"/>
    <mergeCell ref="A8316:B8316"/>
    <mergeCell ref="A8317:B8317"/>
    <mergeCell ref="A8318:B8318"/>
    <mergeCell ref="A8319:B8319"/>
    <mergeCell ref="A8302:B8302"/>
    <mergeCell ref="A8303:B8303"/>
    <mergeCell ref="A8304:B8304"/>
    <mergeCell ref="A8305:B8305"/>
    <mergeCell ref="A8306:B8306"/>
    <mergeCell ref="A8307:B8307"/>
    <mergeCell ref="A8308:B8308"/>
    <mergeCell ref="A8309:B8309"/>
    <mergeCell ref="A8310:B8310"/>
    <mergeCell ref="A8293:B8293"/>
    <mergeCell ref="A8294:B8294"/>
    <mergeCell ref="A8295:B8295"/>
    <mergeCell ref="A8296:B8296"/>
    <mergeCell ref="A8297:B8297"/>
    <mergeCell ref="A8298:B8298"/>
    <mergeCell ref="A8299:B8299"/>
    <mergeCell ref="A8300:B8300"/>
    <mergeCell ref="A8301:B8301"/>
    <mergeCell ref="A8284:B8284"/>
    <mergeCell ref="A8285:B8285"/>
    <mergeCell ref="A8286:B8286"/>
    <mergeCell ref="A8287:B8287"/>
    <mergeCell ref="A8288:B8288"/>
    <mergeCell ref="A8289:B8289"/>
    <mergeCell ref="A8290:B8290"/>
    <mergeCell ref="A8291:B8291"/>
    <mergeCell ref="A8292:B8292"/>
    <mergeCell ref="A8347:B8347"/>
    <mergeCell ref="A8348:B8348"/>
    <mergeCell ref="A8349:B8349"/>
    <mergeCell ref="A8350:B8350"/>
    <mergeCell ref="A8351:B8351"/>
    <mergeCell ref="A8352:B8352"/>
    <mergeCell ref="A8353:B8353"/>
    <mergeCell ref="A8354:B8354"/>
    <mergeCell ref="A8355:B8355"/>
    <mergeCell ref="A8338:B8338"/>
    <mergeCell ref="A8339:B8339"/>
    <mergeCell ref="A8340:B8340"/>
    <mergeCell ref="A8341:B8341"/>
    <mergeCell ref="A8342:B8342"/>
    <mergeCell ref="A8343:B8343"/>
    <mergeCell ref="A8344:B8344"/>
    <mergeCell ref="A8345:B8345"/>
    <mergeCell ref="A8346:B8346"/>
    <mergeCell ref="A8329:B8329"/>
    <mergeCell ref="A8330:B8330"/>
    <mergeCell ref="A8331:B8331"/>
    <mergeCell ref="A8332:B8332"/>
    <mergeCell ref="A8333:B8333"/>
    <mergeCell ref="A8334:B8334"/>
    <mergeCell ref="A8335:B8335"/>
    <mergeCell ref="A8336:B8336"/>
    <mergeCell ref="A8337:B8337"/>
    <mergeCell ref="A8320:B8320"/>
    <mergeCell ref="A8321:B8321"/>
    <mergeCell ref="A8322:B8322"/>
    <mergeCell ref="A8323:B8323"/>
    <mergeCell ref="A8324:B8324"/>
    <mergeCell ref="A8325:B8325"/>
    <mergeCell ref="A8326:B8326"/>
    <mergeCell ref="A8327:B8327"/>
    <mergeCell ref="A8328:B8328"/>
    <mergeCell ref="A8383:B8383"/>
    <mergeCell ref="A8384:B8384"/>
    <mergeCell ref="A8385:B8385"/>
    <mergeCell ref="A8386:B8386"/>
    <mergeCell ref="A8387:B8387"/>
    <mergeCell ref="A8388:B8388"/>
    <mergeCell ref="A8389:B8389"/>
    <mergeCell ref="A8390:B8390"/>
    <mergeCell ref="A8391:B8391"/>
    <mergeCell ref="A8374:B8374"/>
    <mergeCell ref="A8375:B8375"/>
    <mergeCell ref="A8376:B8376"/>
    <mergeCell ref="A8377:B8377"/>
    <mergeCell ref="A8378:B8378"/>
    <mergeCell ref="A8379:B8379"/>
    <mergeCell ref="A8380:B8380"/>
    <mergeCell ref="A8381:B8381"/>
    <mergeCell ref="A8382:B8382"/>
    <mergeCell ref="A8365:B8365"/>
    <mergeCell ref="A8366:B8366"/>
    <mergeCell ref="A8367:B8367"/>
    <mergeCell ref="A8368:B8368"/>
    <mergeCell ref="A8369:B8369"/>
    <mergeCell ref="A8370:B8370"/>
    <mergeCell ref="A8371:B8371"/>
    <mergeCell ref="A8372:B8372"/>
    <mergeCell ref="A8373:B8373"/>
    <mergeCell ref="A8356:B8356"/>
    <mergeCell ref="A8357:B8357"/>
    <mergeCell ref="A8358:B8358"/>
    <mergeCell ref="A8359:B8359"/>
    <mergeCell ref="A8360:B8360"/>
    <mergeCell ref="A8361:B8361"/>
    <mergeCell ref="A8362:B8362"/>
    <mergeCell ref="A8363:B8363"/>
    <mergeCell ref="A8364:B8364"/>
    <mergeCell ref="A8419:B8419"/>
    <mergeCell ref="A8420:B8420"/>
    <mergeCell ref="A8421:B8421"/>
    <mergeCell ref="A8422:B8422"/>
    <mergeCell ref="A8423:B8423"/>
    <mergeCell ref="A8424:B8424"/>
    <mergeCell ref="A8425:B8425"/>
    <mergeCell ref="A8426:B8426"/>
    <mergeCell ref="A8427:B8427"/>
    <mergeCell ref="A8410:B8410"/>
    <mergeCell ref="A8411:B8411"/>
    <mergeCell ref="A8412:B8412"/>
    <mergeCell ref="A8413:B8413"/>
    <mergeCell ref="A8414:B8414"/>
    <mergeCell ref="A8415:B8415"/>
    <mergeCell ref="A8416:B8416"/>
    <mergeCell ref="A8417:B8417"/>
    <mergeCell ref="A8418:B8418"/>
    <mergeCell ref="A8401:B8401"/>
    <mergeCell ref="A8402:B8402"/>
    <mergeCell ref="A8403:B8403"/>
    <mergeCell ref="A8404:B8404"/>
    <mergeCell ref="A8405:B8405"/>
    <mergeCell ref="A8406:B8406"/>
    <mergeCell ref="A8407:B8407"/>
    <mergeCell ref="A8408:B8408"/>
    <mergeCell ref="A8409:B8409"/>
    <mergeCell ref="A8392:B8392"/>
    <mergeCell ref="A8393:B8393"/>
    <mergeCell ref="A8394:B8394"/>
    <mergeCell ref="A8395:B8395"/>
    <mergeCell ref="A8396:B8396"/>
    <mergeCell ref="A8397:B8397"/>
    <mergeCell ref="A8398:B8398"/>
    <mergeCell ref="A8399:B8399"/>
    <mergeCell ref="A8400:B8400"/>
    <mergeCell ref="A8455:B8455"/>
    <mergeCell ref="A8456:B8456"/>
    <mergeCell ref="A8457:B8457"/>
    <mergeCell ref="A8458:B8458"/>
    <mergeCell ref="A8459:B8459"/>
    <mergeCell ref="A8460:B8460"/>
    <mergeCell ref="A8461:B8461"/>
    <mergeCell ref="A8462:B8462"/>
    <mergeCell ref="A8463:B8463"/>
    <mergeCell ref="A8446:B8446"/>
    <mergeCell ref="A8447:B8447"/>
    <mergeCell ref="A8448:B8448"/>
    <mergeCell ref="A8449:B8449"/>
    <mergeCell ref="A8450:B8450"/>
    <mergeCell ref="A8451:B8451"/>
    <mergeCell ref="A8452:B8452"/>
    <mergeCell ref="A8453:B8453"/>
    <mergeCell ref="A8454:B8454"/>
    <mergeCell ref="A8437:B8437"/>
    <mergeCell ref="A8438:B8438"/>
    <mergeCell ref="A8439:B8439"/>
    <mergeCell ref="A8440:B8440"/>
    <mergeCell ref="A8441:B8441"/>
    <mergeCell ref="A8442:B8442"/>
    <mergeCell ref="A8443:B8443"/>
    <mergeCell ref="A8444:B8444"/>
    <mergeCell ref="A8445:B8445"/>
    <mergeCell ref="A8428:B8428"/>
    <mergeCell ref="A8429:B8429"/>
    <mergeCell ref="A8430:B8430"/>
    <mergeCell ref="A8431:B8431"/>
    <mergeCell ref="A8432:B8432"/>
    <mergeCell ref="A8433:B8433"/>
    <mergeCell ref="A8434:B8434"/>
    <mergeCell ref="A8435:B8435"/>
    <mergeCell ref="A8436:B8436"/>
    <mergeCell ref="A8491:B8491"/>
    <mergeCell ref="A8492:B8492"/>
    <mergeCell ref="A8493:B8493"/>
    <mergeCell ref="A8494:B8494"/>
    <mergeCell ref="A8495:B8495"/>
    <mergeCell ref="A8496:B8496"/>
    <mergeCell ref="A8497:B8497"/>
    <mergeCell ref="A8498:B8498"/>
    <mergeCell ref="A8499:B8499"/>
    <mergeCell ref="A8482:B8482"/>
    <mergeCell ref="A8483:B8483"/>
    <mergeCell ref="A8484:B8484"/>
    <mergeCell ref="A8485:B8485"/>
    <mergeCell ref="A8486:B8486"/>
    <mergeCell ref="A8487:B8487"/>
    <mergeCell ref="A8488:B8488"/>
    <mergeCell ref="A8489:B8489"/>
    <mergeCell ref="A8490:B8490"/>
    <mergeCell ref="A8473:B8473"/>
    <mergeCell ref="A8474:B8474"/>
    <mergeCell ref="A8475:B8475"/>
    <mergeCell ref="A8476:B8476"/>
    <mergeCell ref="A8477:B8477"/>
    <mergeCell ref="A8478:B8478"/>
    <mergeCell ref="A8479:B8479"/>
    <mergeCell ref="A8480:B8480"/>
    <mergeCell ref="A8481:B8481"/>
    <mergeCell ref="A8464:B8464"/>
    <mergeCell ref="A8465:B8465"/>
    <mergeCell ref="A8466:B8466"/>
    <mergeCell ref="A8467:B8467"/>
    <mergeCell ref="A8468:B8468"/>
    <mergeCell ref="A8469:B8469"/>
    <mergeCell ref="A8470:B8470"/>
    <mergeCell ref="A8471:B8471"/>
    <mergeCell ref="A8472:B8472"/>
    <mergeCell ref="A8527:B8527"/>
    <mergeCell ref="A8528:B8528"/>
    <mergeCell ref="A8529:B8529"/>
    <mergeCell ref="A8530:B8530"/>
    <mergeCell ref="A8531:B8531"/>
    <mergeCell ref="A8532:B8532"/>
    <mergeCell ref="A8533:B8533"/>
    <mergeCell ref="A8534:B8534"/>
    <mergeCell ref="A8535:B8535"/>
    <mergeCell ref="A8518:B8518"/>
    <mergeCell ref="A8519:B8519"/>
    <mergeCell ref="A8520:B8520"/>
    <mergeCell ref="A8521:B8521"/>
    <mergeCell ref="A8522:B8522"/>
    <mergeCell ref="A8523:B8523"/>
    <mergeCell ref="A8524:B8524"/>
    <mergeCell ref="A8525:B8525"/>
    <mergeCell ref="A8526:B8526"/>
    <mergeCell ref="A8509:B8509"/>
    <mergeCell ref="A8510:B8510"/>
    <mergeCell ref="A8511:B8511"/>
    <mergeCell ref="A8512:B8512"/>
    <mergeCell ref="A8513:B8513"/>
    <mergeCell ref="A8514:B8514"/>
    <mergeCell ref="A8515:B8515"/>
    <mergeCell ref="A8516:B8516"/>
    <mergeCell ref="A8517:B8517"/>
    <mergeCell ref="A8500:B8500"/>
    <mergeCell ref="A8501:B8501"/>
    <mergeCell ref="A8502:B8502"/>
    <mergeCell ref="A8503:B8503"/>
    <mergeCell ref="A8504:B8504"/>
    <mergeCell ref="A8505:B8505"/>
    <mergeCell ref="A8506:B8506"/>
    <mergeCell ref="A8507:B8507"/>
    <mergeCell ref="A8508:B8508"/>
    <mergeCell ref="A8563:B8563"/>
    <mergeCell ref="A8564:B8564"/>
    <mergeCell ref="A8565:B8565"/>
    <mergeCell ref="A8566:B8566"/>
    <mergeCell ref="A8567:B8567"/>
    <mergeCell ref="A8568:B8568"/>
    <mergeCell ref="A8569:B8569"/>
    <mergeCell ref="A8570:B8570"/>
    <mergeCell ref="A8571:B8571"/>
    <mergeCell ref="A8554:B8554"/>
    <mergeCell ref="A8555:B8555"/>
    <mergeCell ref="A8556:B8556"/>
    <mergeCell ref="A8557:B8557"/>
    <mergeCell ref="A8558:B8558"/>
    <mergeCell ref="A8559:B8559"/>
    <mergeCell ref="A8560:B8560"/>
    <mergeCell ref="A8561:B8561"/>
    <mergeCell ref="A8562:B8562"/>
    <mergeCell ref="A8545:B8545"/>
    <mergeCell ref="A8546:B8546"/>
    <mergeCell ref="A8547:B8547"/>
    <mergeCell ref="A8548:B8548"/>
    <mergeCell ref="A8549:B8549"/>
    <mergeCell ref="A8550:B8550"/>
    <mergeCell ref="A8551:B8551"/>
    <mergeCell ref="A8552:B8552"/>
    <mergeCell ref="A8553:B8553"/>
    <mergeCell ref="A8536:B8536"/>
    <mergeCell ref="A8537:B8537"/>
    <mergeCell ref="A8538:B8538"/>
    <mergeCell ref="A8539:B8539"/>
    <mergeCell ref="A8540:B8540"/>
    <mergeCell ref="A8541:B8541"/>
    <mergeCell ref="A8542:B8542"/>
    <mergeCell ref="A8543:B8543"/>
    <mergeCell ref="A8544:B8544"/>
    <mergeCell ref="A8599:B8599"/>
    <mergeCell ref="A8600:B8600"/>
    <mergeCell ref="A8601:B8601"/>
    <mergeCell ref="A8602:B8602"/>
    <mergeCell ref="A8603:B8603"/>
    <mergeCell ref="A8604:B8604"/>
    <mergeCell ref="A8605:B8605"/>
    <mergeCell ref="A8606:B8606"/>
    <mergeCell ref="A8607:B8607"/>
    <mergeCell ref="A8590:B8590"/>
    <mergeCell ref="A8591:B8591"/>
    <mergeCell ref="A8592:B8592"/>
    <mergeCell ref="A8593:B8593"/>
    <mergeCell ref="A8594:B8594"/>
    <mergeCell ref="A8595:B8595"/>
    <mergeCell ref="A8596:B8596"/>
    <mergeCell ref="A8597:B8597"/>
    <mergeCell ref="A8598:B8598"/>
    <mergeCell ref="A8581:B8581"/>
    <mergeCell ref="A8582:B8582"/>
    <mergeCell ref="A8583:B8583"/>
    <mergeCell ref="A8584:B8584"/>
    <mergeCell ref="A8585:B8585"/>
    <mergeCell ref="A8586:B8586"/>
    <mergeCell ref="A8587:B8587"/>
    <mergeCell ref="A8588:B8588"/>
    <mergeCell ref="A8589:B8589"/>
    <mergeCell ref="A8572:B8572"/>
    <mergeCell ref="A8573:B8573"/>
    <mergeCell ref="A8574:B8574"/>
    <mergeCell ref="A8575:B8575"/>
    <mergeCell ref="A8576:B8576"/>
    <mergeCell ref="A8577:B8577"/>
    <mergeCell ref="A8578:B8578"/>
    <mergeCell ref="A8579:B8579"/>
    <mergeCell ref="A8580:B8580"/>
    <mergeCell ref="A8635:B8635"/>
    <mergeCell ref="A8636:B8636"/>
    <mergeCell ref="A8637:B8637"/>
    <mergeCell ref="A8638:B8638"/>
    <mergeCell ref="A8639:B8639"/>
    <mergeCell ref="A8640:B8640"/>
    <mergeCell ref="A8641:B8641"/>
    <mergeCell ref="A8642:B8642"/>
    <mergeCell ref="A8643:B8643"/>
    <mergeCell ref="A8626:B8626"/>
    <mergeCell ref="A8627:B8627"/>
    <mergeCell ref="A8628:B8628"/>
    <mergeCell ref="A8629:B8629"/>
    <mergeCell ref="A8630:B8630"/>
    <mergeCell ref="A8631:B8631"/>
    <mergeCell ref="A8632:B8632"/>
    <mergeCell ref="A8633:B8633"/>
    <mergeCell ref="A8634:B8634"/>
    <mergeCell ref="A8617:B8617"/>
    <mergeCell ref="A8618:B8618"/>
    <mergeCell ref="A8619:B8619"/>
    <mergeCell ref="A8620:B8620"/>
    <mergeCell ref="A8621:B8621"/>
    <mergeCell ref="A8622:B8622"/>
    <mergeCell ref="A8623:B8623"/>
    <mergeCell ref="A8624:B8624"/>
    <mergeCell ref="A8625:B8625"/>
    <mergeCell ref="A8608:B8608"/>
    <mergeCell ref="A8609:B8609"/>
    <mergeCell ref="A8610:B8610"/>
    <mergeCell ref="A8611:B8611"/>
    <mergeCell ref="A8612:B8612"/>
    <mergeCell ref="A8613:B8613"/>
    <mergeCell ref="A8614:B8614"/>
    <mergeCell ref="A8615:B8615"/>
    <mergeCell ref="A8616:B8616"/>
    <mergeCell ref="A8684:B8684"/>
    <mergeCell ref="A8685:B8685"/>
    <mergeCell ref="A8686:B8686"/>
    <mergeCell ref="A8687:B8687"/>
    <mergeCell ref="A8688:B8688"/>
    <mergeCell ref="A8671:B8671"/>
    <mergeCell ref="A8672:B8672"/>
    <mergeCell ref="A8673:B8673"/>
    <mergeCell ref="A8674:B8674"/>
    <mergeCell ref="A8675:B8675"/>
    <mergeCell ref="A8676:B8676"/>
    <mergeCell ref="A8677:B8677"/>
    <mergeCell ref="A8678:B8678"/>
    <mergeCell ref="A8679:B8679"/>
    <mergeCell ref="A8662:B8662"/>
    <mergeCell ref="A8663:B8663"/>
    <mergeCell ref="A8664:B8664"/>
    <mergeCell ref="A8665:B8665"/>
    <mergeCell ref="A8666:B8666"/>
    <mergeCell ref="A8667:B8667"/>
    <mergeCell ref="A8668:B8668"/>
    <mergeCell ref="A8669:B8669"/>
    <mergeCell ref="A8670:B8670"/>
    <mergeCell ref="A8653:B8653"/>
    <mergeCell ref="A8654:B8654"/>
    <mergeCell ref="A8655:B8655"/>
    <mergeCell ref="A8656:B8656"/>
    <mergeCell ref="A8657:B8657"/>
    <mergeCell ref="A8658:B8658"/>
    <mergeCell ref="A8659:B8659"/>
    <mergeCell ref="A8660:B8660"/>
    <mergeCell ref="A8661:B8661"/>
    <mergeCell ref="A8644:B8644"/>
    <mergeCell ref="A8645:B8645"/>
    <mergeCell ref="A8646:B8646"/>
    <mergeCell ref="A8647:B8647"/>
    <mergeCell ref="A8648:B8648"/>
    <mergeCell ref="A8649:B8649"/>
    <mergeCell ref="A8650:B8650"/>
    <mergeCell ref="A8651:B8651"/>
    <mergeCell ref="A8652:B8652"/>
    <mergeCell ref="A6948:B6948"/>
    <mergeCell ref="A6949:B6949"/>
    <mergeCell ref="A6950:B6950"/>
    <mergeCell ref="A6951:B6951"/>
    <mergeCell ref="A6952:B6952"/>
    <mergeCell ref="A6953:B6953"/>
    <mergeCell ref="A6954:B6954"/>
    <mergeCell ref="A6955:B6955"/>
    <mergeCell ref="A6956:B6956"/>
    <mergeCell ref="A8716:B8716"/>
    <mergeCell ref="A6925:B6925"/>
    <mergeCell ref="A6926:B6926"/>
    <mergeCell ref="A6927:B6927"/>
    <mergeCell ref="A6928:B6928"/>
    <mergeCell ref="A6929:B6929"/>
    <mergeCell ref="A6930:B6930"/>
    <mergeCell ref="A6931:B6931"/>
    <mergeCell ref="A6932:B6932"/>
    <mergeCell ref="A6933:B6933"/>
    <mergeCell ref="A6934:B6934"/>
    <mergeCell ref="A6935:B6935"/>
    <mergeCell ref="A6936:B6936"/>
    <mergeCell ref="A6937:B6937"/>
    <mergeCell ref="A6938:B6938"/>
    <mergeCell ref="A6939:B6939"/>
    <mergeCell ref="A6940:B6940"/>
    <mergeCell ref="A6941:B6941"/>
    <mergeCell ref="A6942:B6942"/>
    <mergeCell ref="A6943:B6943"/>
    <mergeCell ref="A6944:B6944"/>
    <mergeCell ref="A6945:B6945"/>
    <mergeCell ref="A6946:B6946"/>
    <mergeCell ref="A6947:B6947"/>
    <mergeCell ref="A8707:B8707"/>
    <mergeCell ref="A8708:B8708"/>
    <mergeCell ref="A8709:B8709"/>
    <mergeCell ref="A8710:B8710"/>
    <mergeCell ref="A8711:B8711"/>
    <mergeCell ref="A8712:B8712"/>
    <mergeCell ref="A8713:B8713"/>
    <mergeCell ref="A8714:B8714"/>
    <mergeCell ref="A8715:B8715"/>
    <mergeCell ref="A8698:B8698"/>
    <mergeCell ref="A8699:B8699"/>
    <mergeCell ref="A8700:B8700"/>
    <mergeCell ref="A8701:B8701"/>
    <mergeCell ref="A8702:B8702"/>
    <mergeCell ref="A8703:B8703"/>
    <mergeCell ref="A8704:B8704"/>
    <mergeCell ref="A8705:B8705"/>
    <mergeCell ref="A8706:B8706"/>
    <mergeCell ref="A8689:B8689"/>
    <mergeCell ref="A8690:B8690"/>
    <mergeCell ref="A8691:B8691"/>
    <mergeCell ref="A8692:B8692"/>
    <mergeCell ref="A8693:B8693"/>
    <mergeCell ref="A8694:B8694"/>
    <mergeCell ref="A8695:B8695"/>
    <mergeCell ref="A8696:B8696"/>
    <mergeCell ref="A8697:B8697"/>
    <mergeCell ref="A8680:B8680"/>
    <mergeCell ref="A8681:B8681"/>
    <mergeCell ref="A8682:B8682"/>
    <mergeCell ref="A8683:B8683"/>
    <mergeCell ref="A6984:B6984"/>
    <mergeCell ref="A6985:B6985"/>
    <mergeCell ref="A6986:B6986"/>
    <mergeCell ref="A6987:B6987"/>
    <mergeCell ref="A6988:B6988"/>
    <mergeCell ref="A6989:B6989"/>
    <mergeCell ref="A6990:B6990"/>
    <mergeCell ref="A6991:B6991"/>
    <mergeCell ref="A6992:B6992"/>
    <mergeCell ref="A6975:B6975"/>
    <mergeCell ref="A6976:B6976"/>
    <mergeCell ref="A6977:B6977"/>
    <mergeCell ref="A6978:B6978"/>
    <mergeCell ref="A6979:B6979"/>
    <mergeCell ref="A6980:B6980"/>
    <mergeCell ref="A6981:B6981"/>
    <mergeCell ref="A6982:B6982"/>
    <mergeCell ref="A6983:B6983"/>
    <mergeCell ref="A6966:B6966"/>
    <mergeCell ref="A6967:B6967"/>
    <mergeCell ref="A6968:B6968"/>
    <mergeCell ref="A6969:B6969"/>
    <mergeCell ref="A6970:B6970"/>
    <mergeCell ref="A6971:B6971"/>
    <mergeCell ref="A6972:B6972"/>
    <mergeCell ref="A6973:B6973"/>
    <mergeCell ref="A6974:B6974"/>
    <mergeCell ref="A6957:B6957"/>
    <mergeCell ref="A6958:B6958"/>
    <mergeCell ref="A6959:B6959"/>
    <mergeCell ref="A6960:B6960"/>
    <mergeCell ref="A6961:B6961"/>
    <mergeCell ref="A6962:B6962"/>
    <mergeCell ref="A6963:B6963"/>
    <mergeCell ref="A6964:B6964"/>
    <mergeCell ref="A6965:B6965"/>
    <mergeCell ref="A7020:B7020"/>
    <mergeCell ref="A7021:B7021"/>
    <mergeCell ref="A7022:B7022"/>
    <mergeCell ref="A7023:B7023"/>
    <mergeCell ref="A7024:B7024"/>
    <mergeCell ref="A7025:B7025"/>
    <mergeCell ref="A7026:B7026"/>
    <mergeCell ref="A7027:B7027"/>
    <mergeCell ref="A7028:B7028"/>
    <mergeCell ref="A7011:B7011"/>
    <mergeCell ref="A7012:B7012"/>
    <mergeCell ref="A7013:B7013"/>
    <mergeCell ref="A7014:B7014"/>
    <mergeCell ref="A7015:B7015"/>
    <mergeCell ref="A7016:B7016"/>
    <mergeCell ref="A7017:B7017"/>
    <mergeCell ref="A7018:B7018"/>
    <mergeCell ref="A7019:B7019"/>
    <mergeCell ref="A7002:B7002"/>
    <mergeCell ref="A7003:B7003"/>
    <mergeCell ref="A7004:B7004"/>
    <mergeCell ref="A7005:B7005"/>
    <mergeCell ref="A7006:B7006"/>
    <mergeCell ref="A7007:B7007"/>
    <mergeCell ref="A7008:B7008"/>
    <mergeCell ref="A7009:B7009"/>
    <mergeCell ref="A7010:B7010"/>
    <mergeCell ref="A6993:B6993"/>
    <mergeCell ref="A6994:B6994"/>
    <mergeCell ref="A6995:B6995"/>
    <mergeCell ref="A6996:B6996"/>
    <mergeCell ref="A6997:B6997"/>
    <mergeCell ref="A6998:B6998"/>
    <mergeCell ref="A6999:B6999"/>
    <mergeCell ref="A7000:B7000"/>
    <mergeCell ref="A7001:B7001"/>
    <mergeCell ref="A7056:B7056"/>
    <mergeCell ref="A7057:B7057"/>
    <mergeCell ref="A7058:B7058"/>
    <mergeCell ref="A7059:B7059"/>
    <mergeCell ref="A7060:B7060"/>
    <mergeCell ref="A7061:B7061"/>
    <mergeCell ref="A7062:B7062"/>
    <mergeCell ref="A7063:B7063"/>
    <mergeCell ref="A7064:B7064"/>
    <mergeCell ref="A7047:B7047"/>
    <mergeCell ref="A7048:B7048"/>
    <mergeCell ref="A7049:B7049"/>
    <mergeCell ref="A7050:B7050"/>
    <mergeCell ref="A7051:B7051"/>
    <mergeCell ref="A7052:B7052"/>
    <mergeCell ref="A7053:B7053"/>
    <mergeCell ref="A7054:B7054"/>
    <mergeCell ref="A7055:B7055"/>
    <mergeCell ref="A7038:B7038"/>
    <mergeCell ref="A7039:B7039"/>
    <mergeCell ref="A7040:B7040"/>
    <mergeCell ref="A7041:B7041"/>
    <mergeCell ref="A7042:B7042"/>
    <mergeCell ref="A7043:B7043"/>
    <mergeCell ref="A7044:B7044"/>
    <mergeCell ref="A7045:B7045"/>
    <mergeCell ref="A7046:B7046"/>
    <mergeCell ref="A7029:B7029"/>
    <mergeCell ref="A7030:B7030"/>
    <mergeCell ref="A7031:B7031"/>
    <mergeCell ref="A7032:B7032"/>
    <mergeCell ref="A7033:B7033"/>
    <mergeCell ref="A7034:B7034"/>
    <mergeCell ref="A7035:B7035"/>
    <mergeCell ref="A7036:B7036"/>
    <mergeCell ref="A7037:B7037"/>
    <mergeCell ref="A7092:B7092"/>
    <mergeCell ref="A7093:B7093"/>
    <mergeCell ref="A7094:B7094"/>
    <mergeCell ref="A7095:B7095"/>
    <mergeCell ref="A7096:B7096"/>
    <mergeCell ref="A7097:B7097"/>
    <mergeCell ref="A7098:B7098"/>
    <mergeCell ref="A7099:B7099"/>
    <mergeCell ref="A7100:B7100"/>
    <mergeCell ref="A7083:B7083"/>
    <mergeCell ref="A7084:B7084"/>
    <mergeCell ref="A7085:B7085"/>
    <mergeCell ref="A7086:B7086"/>
    <mergeCell ref="A7087:B7087"/>
    <mergeCell ref="A7088:B7088"/>
    <mergeCell ref="A7089:B7089"/>
    <mergeCell ref="A7090:B7090"/>
    <mergeCell ref="A7091:B7091"/>
    <mergeCell ref="A7074:B7074"/>
    <mergeCell ref="A7075:B7075"/>
    <mergeCell ref="A7076:B7076"/>
    <mergeCell ref="A7077:B7077"/>
    <mergeCell ref="A7078:B7078"/>
    <mergeCell ref="A7079:B7079"/>
    <mergeCell ref="A7080:B7080"/>
    <mergeCell ref="A7081:B7081"/>
    <mergeCell ref="A7082:B7082"/>
    <mergeCell ref="A7065:B7065"/>
    <mergeCell ref="A7066:B7066"/>
    <mergeCell ref="A7067:B7067"/>
    <mergeCell ref="A7068:B7068"/>
    <mergeCell ref="A7069:B7069"/>
    <mergeCell ref="A7070:B7070"/>
    <mergeCell ref="A7071:B7071"/>
    <mergeCell ref="A7072:B7072"/>
    <mergeCell ref="A7073:B7073"/>
    <mergeCell ref="A7128:B7128"/>
    <mergeCell ref="A7129:B7129"/>
    <mergeCell ref="A7130:B7130"/>
    <mergeCell ref="A7131:B7131"/>
    <mergeCell ref="A7132:B7132"/>
    <mergeCell ref="A7133:B7133"/>
    <mergeCell ref="A7134:B7134"/>
    <mergeCell ref="A7135:B7135"/>
    <mergeCell ref="A7136:B7136"/>
    <mergeCell ref="A7119:B7119"/>
    <mergeCell ref="A7120:B7120"/>
    <mergeCell ref="A7121:B7121"/>
    <mergeCell ref="A7122:B7122"/>
    <mergeCell ref="A7123:B7123"/>
    <mergeCell ref="A7124:B7124"/>
    <mergeCell ref="A7125:B7125"/>
    <mergeCell ref="A7126:B7126"/>
    <mergeCell ref="A7127:B7127"/>
    <mergeCell ref="A7110:B7110"/>
    <mergeCell ref="A7111:B7111"/>
    <mergeCell ref="A7112:B7112"/>
    <mergeCell ref="A7113:B7113"/>
    <mergeCell ref="A7114:B7114"/>
    <mergeCell ref="A7115:B7115"/>
    <mergeCell ref="A7116:B7116"/>
    <mergeCell ref="A7117:B7117"/>
    <mergeCell ref="A7118:B7118"/>
    <mergeCell ref="A7101:B7101"/>
    <mergeCell ref="A7102:B7102"/>
    <mergeCell ref="A7103:B7103"/>
    <mergeCell ref="A7104:B7104"/>
    <mergeCell ref="A7105:B7105"/>
    <mergeCell ref="A7106:B7106"/>
    <mergeCell ref="A7107:B7107"/>
    <mergeCell ref="A7108:B7108"/>
    <mergeCell ref="A7109:B7109"/>
    <mergeCell ref="A7164:B7164"/>
    <mergeCell ref="A7165:B7165"/>
    <mergeCell ref="A7166:B7166"/>
    <mergeCell ref="A7167:B7167"/>
    <mergeCell ref="A7168:B7168"/>
    <mergeCell ref="A7169:B7169"/>
    <mergeCell ref="A7170:B7170"/>
    <mergeCell ref="A7171:B7171"/>
    <mergeCell ref="A7172:B7172"/>
    <mergeCell ref="A7155:B7155"/>
    <mergeCell ref="A7156:B7156"/>
    <mergeCell ref="A7157:B7157"/>
    <mergeCell ref="A7158:B7158"/>
    <mergeCell ref="A7159:B7159"/>
    <mergeCell ref="A7160:B7160"/>
    <mergeCell ref="A7161:B7161"/>
    <mergeCell ref="A7162:B7162"/>
    <mergeCell ref="A7163:B7163"/>
    <mergeCell ref="A7146:B7146"/>
    <mergeCell ref="A7147:B7147"/>
    <mergeCell ref="A7148:B7148"/>
    <mergeCell ref="A7149:B7149"/>
    <mergeCell ref="A7150:B7150"/>
    <mergeCell ref="A7151:B7151"/>
    <mergeCell ref="A7152:B7152"/>
    <mergeCell ref="A7153:B7153"/>
    <mergeCell ref="A7154:B7154"/>
    <mergeCell ref="A7137:B7137"/>
    <mergeCell ref="A7138:B7138"/>
    <mergeCell ref="A7139:B7139"/>
    <mergeCell ref="A7140:B7140"/>
    <mergeCell ref="A7141:B7141"/>
    <mergeCell ref="A7142:B7142"/>
    <mergeCell ref="A7143:B7143"/>
    <mergeCell ref="A7144:B7144"/>
    <mergeCell ref="A7145:B7145"/>
    <mergeCell ref="A7200:B7200"/>
    <mergeCell ref="A7201:B7201"/>
    <mergeCell ref="A7202:B7202"/>
    <mergeCell ref="A7203:B7203"/>
    <mergeCell ref="A7204:B7204"/>
    <mergeCell ref="A7205:B7205"/>
    <mergeCell ref="A7206:B7206"/>
    <mergeCell ref="A7207:B7207"/>
    <mergeCell ref="A7208:B7208"/>
    <mergeCell ref="A7191:B7191"/>
    <mergeCell ref="A7192:B7192"/>
    <mergeCell ref="A7193:B7193"/>
    <mergeCell ref="A7194:B7194"/>
    <mergeCell ref="A7195:B7195"/>
    <mergeCell ref="A7196:B7196"/>
    <mergeCell ref="A7197:B7197"/>
    <mergeCell ref="A7198:B7198"/>
    <mergeCell ref="A7199:B7199"/>
    <mergeCell ref="A7182:B7182"/>
    <mergeCell ref="A7183:B7183"/>
    <mergeCell ref="A7184:B7184"/>
    <mergeCell ref="A7185:B7185"/>
    <mergeCell ref="A7186:B7186"/>
    <mergeCell ref="A7187:B7187"/>
    <mergeCell ref="A7188:B7188"/>
    <mergeCell ref="A7189:B7189"/>
    <mergeCell ref="A7190:B7190"/>
    <mergeCell ref="A7173:B7173"/>
    <mergeCell ref="A7174:B7174"/>
    <mergeCell ref="A7175:B7175"/>
    <mergeCell ref="A7176:B7176"/>
    <mergeCell ref="A7177:B7177"/>
    <mergeCell ref="A7178:B7178"/>
    <mergeCell ref="A7179:B7179"/>
    <mergeCell ref="A7180:B7180"/>
    <mergeCell ref="A7181:B7181"/>
    <mergeCell ref="A7236:B7236"/>
    <mergeCell ref="A7237:B7237"/>
    <mergeCell ref="A7238:B7238"/>
    <mergeCell ref="A7239:B7239"/>
    <mergeCell ref="A7240:B7240"/>
    <mergeCell ref="A7241:B7241"/>
    <mergeCell ref="A7242:B7242"/>
    <mergeCell ref="A7243:B7243"/>
    <mergeCell ref="A7244:B7244"/>
    <mergeCell ref="A7227:B7227"/>
    <mergeCell ref="A7228:B7228"/>
    <mergeCell ref="A7229:B7229"/>
    <mergeCell ref="A7230:B7230"/>
    <mergeCell ref="A7231:B7231"/>
    <mergeCell ref="A7232:B7232"/>
    <mergeCell ref="A7233:B7233"/>
    <mergeCell ref="A7234:B7234"/>
    <mergeCell ref="A7235:B7235"/>
    <mergeCell ref="A7218:B7218"/>
    <mergeCell ref="A7219:B7219"/>
    <mergeCell ref="A7220:B7220"/>
    <mergeCell ref="A7221:B7221"/>
    <mergeCell ref="A7222:B7222"/>
    <mergeCell ref="A7223:B7223"/>
    <mergeCell ref="A7224:B7224"/>
    <mergeCell ref="A7225:B7225"/>
    <mergeCell ref="A7226:B7226"/>
    <mergeCell ref="A7209:B7209"/>
    <mergeCell ref="A7210:B7210"/>
    <mergeCell ref="A7211:B7211"/>
    <mergeCell ref="A7212:B7212"/>
    <mergeCell ref="A7213:B7213"/>
    <mergeCell ref="A7214:B7214"/>
    <mergeCell ref="A7215:B7215"/>
    <mergeCell ref="A7216:B7216"/>
    <mergeCell ref="A7217:B7217"/>
    <mergeCell ref="A7272:B7272"/>
    <mergeCell ref="A7273:B7273"/>
    <mergeCell ref="A7274:B7274"/>
    <mergeCell ref="A7275:B7275"/>
    <mergeCell ref="A7276:B7276"/>
    <mergeCell ref="A7277:B7277"/>
    <mergeCell ref="A7278:B7278"/>
    <mergeCell ref="A7279:B7279"/>
    <mergeCell ref="A7280:B7280"/>
    <mergeCell ref="A7263:B7263"/>
    <mergeCell ref="A7264:B7264"/>
    <mergeCell ref="A7265:B7265"/>
    <mergeCell ref="A7266:B7266"/>
    <mergeCell ref="A7267:B7267"/>
    <mergeCell ref="A7268:B7268"/>
    <mergeCell ref="A7269:B7269"/>
    <mergeCell ref="A7270:B7270"/>
    <mergeCell ref="A7271:B7271"/>
    <mergeCell ref="A7254:B7254"/>
    <mergeCell ref="A7255:B7255"/>
    <mergeCell ref="A7256:B7256"/>
    <mergeCell ref="A7257:B7257"/>
    <mergeCell ref="A7258:B7258"/>
    <mergeCell ref="A7259:B7259"/>
    <mergeCell ref="A7260:B7260"/>
    <mergeCell ref="A7261:B7261"/>
    <mergeCell ref="A7262:B7262"/>
    <mergeCell ref="A7245:B7245"/>
    <mergeCell ref="A7246:B7246"/>
    <mergeCell ref="A7247:B7247"/>
    <mergeCell ref="A7248:B7248"/>
    <mergeCell ref="A7249:B7249"/>
    <mergeCell ref="A7250:B7250"/>
    <mergeCell ref="A7251:B7251"/>
    <mergeCell ref="A7252:B7252"/>
    <mergeCell ref="A7253:B7253"/>
    <mergeCell ref="A7308:B7308"/>
    <mergeCell ref="A7309:B7309"/>
    <mergeCell ref="A7310:B7310"/>
    <mergeCell ref="A7311:B7311"/>
    <mergeCell ref="A7312:B7312"/>
    <mergeCell ref="A7313:B7313"/>
    <mergeCell ref="A7314:B7314"/>
    <mergeCell ref="A7315:B7315"/>
    <mergeCell ref="A7316:B7316"/>
    <mergeCell ref="A7299:B7299"/>
    <mergeCell ref="A7300:B7300"/>
    <mergeCell ref="A7301:B7301"/>
    <mergeCell ref="A7302:B7302"/>
    <mergeCell ref="A7303:B7303"/>
    <mergeCell ref="A7304:B7304"/>
    <mergeCell ref="A7305:B7305"/>
    <mergeCell ref="A7306:B7306"/>
    <mergeCell ref="A7307:B7307"/>
    <mergeCell ref="A7290:B7290"/>
    <mergeCell ref="A7291:B7291"/>
    <mergeCell ref="A7292:B7292"/>
    <mergeCell ref="A7293:B7293"/>
    <mergeCell ref="A7294:B7294"/>
    <mergeCell ref="A7295:B7295"/>
    <mergeCell ref="A7296:B7296"/>
    <mergeCell ref="A7297:B7297"/>
    <mergeCell ref="A7298:B7298"/>
    <mergeCell ref="A7281:B7281"/>
    <mergeCell ref="A7282:B7282"/>
    <mergeCell ref="A7283:B7283"/>
    <mergeCell ref="A7284:B7284"/>
    <mergeCell ref="A7285:B7285"/>
    <mergeCell ref="A7286:B7286"/>
    <mergeCell ref="A7287:B7287"/>
    <mergeCell ref="A7288:B7288"/>
    <mergeCell ref="A7289:B7289"/>
    <mergeCell ref="A7344:B7344"/>
    <mergeCell ref="A7345:B7345"/>
    <mergeCell ref="A7346:B7346"/>
    <mergeCell ref="A7347:B7347"/>
    <mergeCell ref="A7348:B7348"/>
    <mergeCell ref="A7349:B7349"/>
    <mergeCell ref="A7350:B7350"/>
    <mergeCell ref="A7351:B7351"/>
    <mergeCell ref="A7352:B7352"/>
    <mergeCell ref="A7335:B7335"/>
    <mergeCell ref="A7336:B7336"/>
    <mergeCell ref="A7337:B7337"/>
    <mergeCell ref="A7338:B7338"/>
    <mergeCell ref="A7339:B7339"/>
    <mergeCell ref="A7340:B7340"/>
    <mergeCell ref="A7341:B7341"/>
    <mergeCell ref="A7342:B7342"/>
    <mergeCell ref="A7343:B7343"/>
    <mergeCell ref="A7326:B7326"/>
    <mergeCell ref="A7327:B7327"/>
    <mergeCell ref="A7328:B7328"/>
    <mergeCell ref="A7329:B7329"/>
    <mergeCell ref="A7330:B7330"/>
    <mergeCell ref="A7331:B7331"/>
    <mergeCell ref="A7332:B7332"/>
    <mergeCell ref="A7333:B7333"/>
    <mergeCell ref="A7334:B7334"/>
    <mergeCell ref="A7317:B7317"/>
    <mergeCell ref="A7318:B7318"/>
    <mergeCell ref="A7319:B7319"/>
    <mergeCell ref="A7320:B7320"/>
    <mergeCell ref="A7321:B7321"/>
    <mergeCell ref="A7322:B7322"/>
    <mergeCell ref="A7323:B7323"/>
    <mergeCell ref="A7324:B7324"/>
    <mergeCell ref="A7325:B7325"/>
    <mergeCell ref="A7380:B7380"/>
    <mergeCell ref="A7381:B7381"/>
    <mergeCell ref="A7382:B7382"/>
    <mergeCell ref="A7383:B7383"/>
    <mergeCell ref="A7384:B7384"/>
    <mergeCell ref="A7385:B7385"/>
    <mergeCell ref="A7386:B7386"/>
    <mergeCell ref="A7387:B7387"/>
    <mergeCell ref="A7388:B7388"/>
    <mergeCell ref="A7371:B7371"/>
    <mergeCell ref="A7372:B7372"/>
    <mergeCell ref="A7373:B7373"/>
    <mergeCell ref="A7374:B7374"/>
    <mergeCell ref="A7375:B7375"/>
    <mergeCell ref="A7376:B7376"/>
    <mergeCell ref="A7377:B7377"/>
    <mergeCell ref="A7378:B7378"/>
    <mergeCell ref="A7379:B7379"/>
    <mergeCell ref="A7362:B7362"/>
    <mergeCell ref="A7363:B7363"/>
    <mergeCell ref="A7364:B7364"/>
    <mergeCell ref="A7365:B7365"/>
    <mergeCell ref="A7366:B7366"/>
    <mergeCell ref="A7367:B7367"/>
    <mergeCell ref="A7368:B7368"/>
    <mergeCell ref="A7369:B7369"/>
    <mergeCell ref="A7370:B7370"/>
    <mergeCell ref="A7353:B7353"/>
    <mergeCell ref="A7354:B7354"/>
    <mergeCell ref="A7355:B7355"/>
    <mergeCell ref="A7356:B7356"/>
    <mergeCell ref="A7357:B7357"/>
    <mergeCell ref="A7358:B7358"/>
    <mergeCell ref="A7359:B7359"/>
    <mergeCell ref="A7360:B7360"/>
    <mergeCell ref="A7361:B7361"/>
    <mergeCell ref="A7416:B7416"/>
    <mergeCell ref="A7417:B7417"/>
    <mergeCell ref="A7418:B7418"/>
    <mergeCell ref="A7419:B7419"/>
    <mergeCell ref="A7420:B7420"/>
    <mergeCell ref="A7421:B7421"/>
    <mergeCell ref="A7422:B7422"/>
    <mergeCell ref="A7423:B7423"/>
    <mergeCell ref="A7424:B7424"/>
    <mergeCell ref="A7407:B7407"/>
    <mergeCell ref="A7408:B7408"/>
    <mergeCell ref="A7409:B7409"/>
    <mergeCell ref="A7410:B7410"/>
    <mergeCell ref="A7411:B7411"/>
    <mergeCell ref="A7412:B7412"/>
    <mergeCell ref="A7413:B7413"/>
    <mergeCell ref="A7414:B7414"/>
    <mergeCell ref="A7415:B7415"/>
    <mergeCell ref="A7398:B7398"/>
    <mergeCell ref="A7399:B7399"/>
    <mergeCell ref="A7400:B7400"/>
    <mergeCell ref="A7401:B7401"/>
    <mergeCell ref="A7402:B7402"/>
    <mergeCell ref="A7403:B7403"/>
    <mergeCell ref="A7404:B7404"/>
    <mergeCell ref="A7405:B7405"/>
    <mergeCell ref="A7406:B7406"/>
    <mergeCell ref="A7389:B7389"/>
    <mergeCell ref="A7390:B7390"/>
    <mergeCell ref="A7391:B7391"/>
    <mergeCell ref="A7392:B7392"/>
    <mergeCell ref="A7393:B7393"/>
    <mergeCell ref="A7394:B7394"/>
    <mergeCell ref="A7395:B7395"/>
    <mergeCell ref="A7396:B7396"/>
    <mergeCell ref="A7397:B7397"/>
    <mergeCell ref="A7452:B7452"/>
    <mergeCell ref="A7453:B7453"/>
    <mergeCell ref="A7454:B7454"/>
    <mergeCell ref="A7455:B7455"/>
    <mergeCell ref="A7456:B7456"/>
    <mergeCell ref="A7457:B7457"/>
    <mergeCell ref="A7458:B7458"/>
    <mergeCell ref="A7459:B7459"/>
    <mergeCell ref="A7460:B7460"/>
    <mergeCell ref="A7443:B7443"/>
    <mergeCell ref="A7444:B7444"/>
    <mergeCell ref="A7445:B7445"/>
    <mergeCell ref="A7446:B7446"/>
    <mergeCell ref="A7447:B7447"/>
    <mergeCell ref="A7448:B7448"/>
    <mergeCell ref="A7449:B7449"/>
    <mergeCell ref="A7450:B7450"/>
    <mergeCell ref="A7451:B7451"/>
    <mergeCell ref="A7434:B7434"/>
    <mergeCell ref="A7435:B7435"/>
    <mergeCell ref="A7436:B7436"/>
    <mergeCell ref="A7437:B7437"/>
    <mergeCell ref="A7438:B7438"/>
    <mergeCell ref="A7439:B7439"/>
    <mergeCell ref="A7440:B7440"/>
    <mergeCell ref="A7441:B7441"/>
    <mergeCell ref="A7442:B7442"/>
    <mergeCell ref="A7425:B7425"/>
    <mergeCell ref="A7426:B7426"/>
    <mergeCell ref="A7427:B7427"/>
    <mergeCell ref="A7428:B7428"/>
    <mergeCell ref="A7429:B7429"/>
    <mergeCell ref="A7430:B7430"/>
    <mergeCell ref="A7431:B7431"/>
    <mergeCell ref="A7432:B7432"/>
    <mergeCell ref="A7433:B7433"/>
    <mergeCell ref="A7488:B7488"/>
    <mergeCell ref="A7489:B7489"/>
    <mergeCell ref="A7490:B7490"/>
    <mergeCell ref="A7491:B7491"/>
    <mergeCell ref="A7492:B7492"/>
    <mergeCell ref="A7493:B7493"/>
    <mergeCell ref="A7494:B7494"/>
    <mergeCell ref="A7495:B7495"/>
    <mergeCell ref="A7496:B7496"/>
    <mergeCell ref="A7479:B7479"/>
    <mergeCell ref="A7480:B7480"/>
    <mergeCell ref="A7481:B7481"/>
    <mergeCell ref="A7482:B7482"/>
    <mergeCell ref="A7483:B7483"/>
    <mergeCell ref="A7484:B7484"/>
    <mergeCell ref="A7485:B7485"/>
    <mergeCell ref="A7486:B7486"/>
    <mergeCell ref="A7487:B7487"/>
    <mergeCell ref="A7470:B7470"/>
    <mergeCell ref="A7471:B7471"/>
    <mergeCell ref="A7472:B7472"/>
    <mergeCell ref="A7473:B7473"/>
    <mergeCell ref="A7474:B7474"/>
    <mergeCell ref="A7475:B7475"/>
    <mergeCell ref="A7476:B7476"/>
    <mergeCell ref="A7477:B7477"/>
    <mergeCell ref="A7478:B7478"/>
    <mergeCell ref="A7461:B7461"/>
    <mergeCell ref="A7462:B7462"/>
    <mergeCell ref="A7463:B7463"/>
    <mergeCell ref="A7464:B7464"/>
    <mergeCell ref="A7465:B7465"/>
    <mergeCell ref="A7466:B7466"/>
    <mergeCell ref="A7467:B7467"/>
    <mergeCell ref="A7468:B7468"/>
    <mergeCell ref="A7469:B7469"/>
    <mergeCell ref="A7524:B7524"/>
    <mergeCell ref="A7525:B7525"/>
    <mergeCell ref="A7526:B7526"/>
    <mergeCell ref="A7527:B7527"/>
    <mergeCell ref="A7528:B7528"/>
    <mergeCell ref="A7529:B7529"/>
    <mergeCell ref="A7530:B7530"/>
    <mergeCell ref="A7531:B7531"/>
    <mergeCell ref="A7532:B7532"/>
    <mergeCell ref="A7515:B7515"/>
    <mergeCell ref="A7516:B7516"/>
    <mergeCell ref="A7517:B7517"/>
    <mergeCell ref="A7518:B7518"/>
    <mergeCell ref="A7519:B7519"/>
    <mergeCell ref="A7520:B7520"/>
    <mergeCell ref="A7521:B7521"/>
    <mergeCell ref="A7522:B7522"/>
    <mergeCell ref="A7523:B7523"/>
    <mergeCell ref="A7506:B7506"/>
    <mergeCell ref="A7507:B7507"/>
    <mergeCell ref="A7508:B7508"/>
    <mergeCell ref="A7509:B7509"/>
    <mergeCell ref="A7510:B7510"/>
    <mergeCell ref="A7511:B7511"/>
    <mergeCell ref="A7512:B7512"/>
    <mergeCell ref="A7513:B7513"/>
    <mergeCell ref="A7514:B7514"/>
    <mergeCell ref="A7497:B7497"/>
    <mergeCell ref="A7498:B7498"/>
    <mergeCell ref="A7499:B7499"/>
    <mergeCell ref="A7500:B7500"/>
    <mergeCell ref="A7501:B7501"/>
    <mergeCell ref="A7502:B7502"/>
    <mergeCell ref="A7503:B7503"/>
    <mergeCell ref="A7504:B7504"/>
    <mergeCell ref="A7505:B7505"/>
    <mergeCell ref="A7560:B7560"/>
    <mergeCell ref="A7561:B7561"/>
    <mergeCell ref="A7562:B7562"/>
    <mergeCell ref="A7563:B7563"/>
    <mergeCell ref="A7564:B7564"/>
    <mergeCell ref="A7565:B7565"/>
    <mergeCell ref="A7566:B7566"/>
    <mergeCell ref="A7567:B7567"/>
    <mergeCell ref="A7568:B7568"/>
    <mergeCell ref="A7551:B7551"/>
    <mergeCell ref="A7552:B7552"/>
    <mergeCell ref="A7553:B7553"/>
    <mergeCell ref="A7554:B7554"/>
    <mergeCell ref="A7555:B7555"/>
    <mergeCell ref="A7556:B7556"/>
    <mergeCell ref="A7557:B7557"/>
    <mergeCell ref="A7558:B7558"/>
    <mergeCell ref="A7559:B7559"/>
    <mergeCell ref="A7542:B7542"/>
    <mergeCell ref="A7543:B7543"/>
    <mergeCell ref="A7544:B7544"/>
    <mergeCell ref="A7545:B7545"/>
    <mergeCell ref="A7546:B7546"/>
    <mergeCell ref="A7547:B7547"/>
    <mergeCell ref="A7548:B7548"/>
    <mergeCell ref="A7549:B7549"/>
    <mergeCell ref="A7550:B7550"/>
    <mergeCell ref="A7533:B7533"/>
    <mergeCell ref="A7534:B7534"/>
    <mergeCell ref="A7535:B7535"/>
    <mergeCell ref="A7536:B7536"/>
    <mergeCell ref="A7537:B7537"/>
    <mergeCell ref="A7538:B7538"/>
    <mergeCell ref="A7539:B7539"/>
    <mergeCell ref="A7540:B7540"/>
    <mergeCell ref="A7541:B7541"/>
    <mergeCell ref="A7596:B7596"/>
    <mergeCell ref="A7597:B7597"/>
    <mergeCell ref="A7598:B7598"/>
    <mergeCell ref="A7599:B7599"/>
    <mergeCell ref="A7600:B7600"/>
    <mergeCell ref="A7601:B7601"/>
    <mergeCell ref="A7602:B7602"/>
    <mergeCell ref="A7603:B7603"/>
    <mergeCell ref="A7604:B7604"/>
    <mergeCell ref="A7587:B7587"/>
    <mergeCell ref="A7588:B7588"/>
    <mergeCell ref="A7589:B7589"/>
    <mergeCell ref="A7590:B7590"/>
    <mergeCell ref="A7591:B7591"/>
    <mergeCell ref="A7592:B7592"/>
    <mergeCell ref="A7593:B7593"/>
    <mergeCell ref="A7594:B7594"/>
    <mergeCell ref="A7595:B7595"/>
    <mergeCell ref="A7578:B7578"/>
    <mergeCell ref="A7579:B7579"/>
    <mergeCell ref="A7580:B7580"/>
    <mergeCell ref="A7581:B7581"/>
    <mergeCell ref="A7582:B7582"/>
    <mergeCell ref="A7583:B7583"/>
    <mergeCell ref="A7584:B7584"/>
    <mergeCell ref="A7585:B7585"/>
    <mergeCell ref="A7586:B7586"/>
    <mergeCell ref="A7569:B7569"/>
    <mergeCell ref="A7570:B7570"/>
    <mergeCell ref="A7571:B7571"/>
    <mergeCell ref="A7572:B7572"/>
    <mergeCell ref="A7573:B7573"/>
    <mergeCell ref="A7574:B7574"/>
    <mergeCell ref="A7575:B7575"/>
    <mergeCell ref="A7576:B7576"/>
    <mergeCell ref="A7577:B7577"/>
    <mergeCell ref="A7632:B7632"/>
    <mergeCell ref="A7633:B7633"/>
    <mergeCell ref="A7634:B7634"/>
    <mergeCell ref="A7635:B7635"/>
    <mergeCell ref="A7636:B7636"/>
    <mergeCell ref="A7637:B7637"/>
    <mergeCell ref="A7638:B7638"/>
    <mergeCell ref="A7639:B7639"/>
    <mergeCell ref="A7640:B7640"/>
    <mergeCell ref="A7623:B7623"/>
    <mergeCell ref="A7624:B7624"/>
    <mergeCell ref="A7625:B7625"/>
    <mergeCell ref="A7626:B7626"/>
    <mergeCell ref="A7627:B7627"/>
    <mergeCell ref="A7628:B7628"/>
    <mergeCell ref="A7629:B7629"/>
    <mergeCell ref="A7630:B7630"/>
    <mergeCell ref="A7631:B7631"/>
    <mergeCell ref="A7614:B7614"/>
    <mergeCell ref="A7615:B7615"/>
    <mergeCell ref="A7616:B7616"/>
    <mergeCell ref="A7617:B7617"/>
    <mergeCell ref="A7618:B7618"/>
    <mergeCell ref="A7619:B7619"/>
    <mergeCell ref="A7620:B7620"/>
    <mergeCell ref="A7621:B7621"/>
    <mergeCell ref="A7622:B7622"/>
    <mergeCell ref="A7605:B7605"/>
    <mergeCell ref="A7606:B7606"/>
    <mergeCell ref="A7607:B7607"/>
    <mergeCell ref="A7608:B7608"/>
    <mergeCell ref="A7609:B7609"/>
    <mergeCell ref="A7610:B7610"/>
    <mergeCell ref="A7611:B7611"/>
    <mergeCell ref="A7612:B7612"/>
    <mergeCell ref="A7613:B7613"/>
    <mergeCell ref="A7668:B7668"/>
    <mergeCell ref="A7669:B7669"/>
    <mergeCell ref="A7670:B7670"/>
    <mergeCell ref="A7671:B7671"/>
    <mergeCell ref="A7672:B7672"/>
    <mergeCell ref="A7673:B7673"/>
    <mergeCell ref="A7674:B7674"/>
    <mergeCell ref="A7675:B7675"/>
    <mergeCell ref="A7676:B7676"/>
    <mergeCell ref="A7659:B7659"/>
    <mergeCell ref="A7660:B7660"/>
    <mergeCell ref="A7661:B7661"/>
    <mergeCell ref="A7662:B7662"/>
    <mergeCell ref="A7663:B7663"/>
    <mergeCell ref="A7664:B7664"/>
    <mergeCell ref="A7665:B7665"/>
    <mergeCell ref="A7666:B7666"/>
    <mergeCell ref="A7667:B7667"/>
    <mergeCell ref="A7650:B7650"/>
    <mergeCell ref="A7651:B7651"/>
    <mergeCell ref="A7652:B7652"/>
    <mergeCell ref="A7653:B7653"/>
    <mergeCell ref="A7654:B7654"/>
    <mergeCell ref="A7655:B7655"/>
    <mergeCell ref="A7656:B7656"/>
    <mergeCell ref="A7657:B7657"/>
    <mergeCell ref="A7658:B7658"/>
    <mergeCell ref="A7641:B7641"/>
    <mergeCell ref="A7642:B7642"/>
    <mergeCell ref="A7643:B7643"/>
    <mergeCell ref="A7644:B7644"/>
    <mergeCell ref="A7645:B7645"/>
    <mergeCell ref="A7646:B7646"/>
    <mergeCell ref="A7647:B7647"/>
    <mergeCell ref="A7648:B7648"/>
    <mergeCell ref="A7649:B7649"/>
    <mergeCell ref="A7704:B7704"/>
    <mergeCell ref="A7705:B7705"/>
    <mergeCell ref="A7706:B7706"/>
    <mergeCell ref="A7707:B7707"/>
    <mergeCell ref="A7708:B7708"/>
    <mergeCell ref="A7709:B7709"/>
    <mergeCell ref="A7710:B7710"/>
    <mergeCell ref="A7711:B7711"/>
    <mergeCell ref="A7712:B7712"/>
    <mergeCell ref="A7695:B7695"/>
    <mergeCell ref="A7696:B7696"/>
    <mergeCell ref="A7697:B7697"/>
    <mergeCell ref="A7698:B7698"/>
    <mergeCell ref="A7699:B7699"/>
    <mergeCell ref="A7700:B7700"/>
    <mergeCell ref="A7701:B7701"/>
    <mergeCell ref="A7702:B7702"/>
    <mergeCell ref="A7703:B7703"/>
    <mergeCell ref="A7686:B7686"/>
    <mergeCell ref="A7687:B7687"/>
    <mergeCell ref="A7688:B7688"/>
    <mergeCell ref="A7689:B7689"/>
    <mergeCell ref="A7690:B7690"/>
    <mergeCell ref="A7691:B7691"/>
    <mergeCell ref="A7692:B7692"/>
    <mergeCell ref="A7693:B7693"/>
    <mergeCell ref="A7694:B7694"/>
    <mergeCell ref="A7677:B7677"/>
    <mergeCell ref="A7678:B7678"/>
    <mergeCell ref="A7679:B7679"/>
    <mergeCell ref="A7680:B7680"/>
    <mergeCell ref="A7681:B7681"/>
    <mergeCell ref="A7682:B7682"/>
    <mergeCell ref="A7683:B7683"/>
    <mergeCell ref="A7684:B7684"/>
    <mergeCell ref="A7685:B7685"/>
    <mergeCell ref="A7740:B7740"/>
    <mergeCell ref="A7741:B7741"/>
    <mergeCell ref="A7742:B7742"/>
    <mergeCell ref="A7743:B7743"/>
    <mergeCell ref="A7744:B7744"/>
    <mergeCell ref="A7745:B7745"/>
    <mergeCell ref="A7746:B7746"/>
    <mergeCell ref="A7747:B7747"/>
    <mergeCell ref="A7748:B7748"/>
    <mergeCell ref="A7731:B7731"/>
    <mergeCell ref="A7732:B7732"/>
    <mergeCell ref="A7733:B7733"/>
    <mergeCell ref="A7734:B7734"/>
    <mergeCell ref="A7735:B7735"/>
    <mergeCell ref="A7736:B7736"/>
    <mergeCell ref="A7737:B7737"/>
    <mergeCell ref="A7738:B7738"/>
    <mergeCell ref="A7739:B7739"/>
    <mergeCell ref="A7722:B7722"/>
    <mergeCell ref="A7723:B7723"/>
    <mergeCell ref="A7724:B7724"/>
    <mergeCell ref="A7725:B7725"/>
    <mergeCell ref="A7726:B7726"/>
    <mergeCell ref="A7727:B7727"/>
    <mergeCell ref="A7728:B7728"/>
    <mergeCell ref="A7729:B7729"/>
    <mergeCell ref="A7730:B7730"/>
    <mergeCell ref="A7713:B7713"/>
    <mergeCell ref="A7714:B7714"/>
    <mergeCell ref="A7715:B7715"/>
    <mergeCell ref="A7716:B7716"/>
    <mergeCell ref="A7717:B7717"/>
    <mergeCell ref="A7718:B7718"/>
    <mergeCell ref="A7719:B7719"/>
    <mergeCell ref="A7720:B7720"/>
    <mergeCell ref="A7721:B7721"/>
    <mergeCell ref="A7776:B7776"/>
    <mergeCell ref="A7777:B7777"/>
    <mergeCell ref="A7778:B7778"/>
    <mergeCell ref="A7779:B7779"/>
    <mergeCell ref="A7780:B7780"/>
    <mergeCell ref="A7781:B7781"/>
    <mergeCell ref="A7782:B7782"/>
    <mergeCell ref="A7783:B7783"/>
    <mergeCell ref="A7784:B7784"/>
    <mergeCell ref="A7767:B7767"/>
    <mergeCell ref="A7768:B7768"/>
    <mergeCell ref="A7769:B7769"/>
    <mergeCell ref="A7770:B7770"/>
    <mergeCell ref="A7771:B7771"/>
    <mergeCell ref="A7772:B7772"/>
    <mergeCell ref="A7773:B7773"/>
    <mergeCell ref="A7774:B7774"/>
    <mergeCell ref="A7775:B7775"/>
    <mergeCell ref="A7758:B7758"/>
    <mergeCell ref="A7759:B7759"/>
    <mergeCell ref="A7760:B7760"/>
    <mergeCell ref="A7761:B7761"/>
    <mergeCell ref="A7762:B7762"/>
    <mergeCell ref="A7763:B7763"/>
    <mergeCell ref="A7764:B7764"/>
    <mergeCell ref="A7765:B7765"/>
    <mergeCell ref="A7766:B7766"/>
    <mergeCell ref="A7749:B7749"/>
    <mergeCell ref="A7750:B7750"/>
    <mergeCell ref="A7751:B7751"/>
    <mergeCell ref="A7752:B7752"/>
    <mergeCell ref="A7753:B7753"/>
    <mergeCell ref="A7754:B7754"/>
    <mergeCell ref="A7755:B7755"/>
    <mergeCell ref="A7756:B7756"/>
    <mergeCell ref="A7757:B7757"/>
    <mergeCell ref="A7812:B7812"/>
    <mergeCell ref="A7813:B7813"/>
    <mergeCell ref="A7814:B7814"/>
    <mergeCell ref="A7815:B7815"/>
    <mergeCell ref="A7816:B7816"/>
    <mergeCell ref="A7817:B7817"/>
    <mergeCell ref="A7818:B7818"/>
    <mergeCell ref="A7819:B7819"/>
    <mergeCell ref="A7820:B7820"/>
    <mergeCell ref="A7803:B7803"/>
    <mergeCell ref="A7804:B7804"/>
    <mergeCell ref="A7805:B7805"/>
    <mergeCell ref="A7806:B7806"/>
    <mergeCell ref="A7807:B7807"/>
    <mergeCell ref="A7808:B7808"/>
    <mergeCell ref="A7809:B7809"/>
    <mergeCell ref="A7810:B7810"/>
    <mergeCell ref="A7811:B7811"/>
    <mergeCell ref="A7794:B7794"/>
    <mergeCell ref="A7795:B7795"/>
    <mergeCell ref="A7796:B7796"/>
    <mergeCell ref="A7797:B7797"/>
    <mergeCell ref="A7798:B7798"/>
    <mergeCell ref="A7799:B7799"/>
    <mergeCell ref="A7800:B7800"/>
    <mergeCell ref="A7801:B7801"/>
    <mergeCell ref="A7802:B7802"/>
    <mergeCell ref="A7785:B7785"/>
    <mergeCell ref="A7786:B7786"/>
    <mergeCell ref="A7787:B7787"/>
    <mergeCell ref="A7788:B7788"/>
    <mergeCell ref="A7789:B7789"/>
    <mergeCell ref="A7790:B7790"/>
    <mergeCell ref="A7791:B7791"/>
    <mergeCell ref="A7792:B7792"/>
    <mergeCell ref="A7793:B7793"/>
    <mergeCell ref="A6056:B6056"/>
    <mergeCell ref="A6057:B6057"/>
    <mergeCell ref="A6058:B6058"/>
    <mergeCell ref="A6059:B6059"/>
    <mergeCell ref="A6060:B6060"/>
    <mergeCell ref="A6061:B6061"/>
    <mergeCell ref="A6062:B6062"/>
    <mergeCell ref="A6063:B6063"/>
    <mergeCell ref="A6064:B6064"/>
    <mergeCell ref="A6047:B6047"/>
    <mergeCell ref="A6048:B6048"/>
    <mergeCell ref="A6049:B6049"/>
    <mergeCell ref="A6050:B6050"/>
    <mergeCell ref="A6051:B6051"/>
    <mergeCell ref="A6052:B6052"/>
    <mergeCell ref="A6053:B6053"/>
    <mergeCell ref="A6054:B6054"/>
    <mergeCell ref="A6055:B6055"/>
    <mergeCell ref="A6038:B6038"/>
    <mergeCell ref="A6039:B6039"/>
    <mergeCell ref="A6040:B6040"/>
    <mergeCell ref="A6041:B6041"/>
    <mergeCell ref="A6042:B6042"/>
    <mergeCell ref="A6043:B6043"/>
    <mergeCell ref="A6044:B6044"/>
    <mergeCell ref="A6045:B6045"/>
    <mergeCell ref="A6046:B6046"/>
    <mergeCell ref="A6029:B6029"/>
    <mergeCell ref="A6030:B6030"/>
    <mergeCell ref="A6031:B6031"/>
    <mergeCell ref="A6032:B6032"/>
    <mergeCell ref="A6033:B6033"/>
    <mergeCell ref="A6034:B6034"/>
    <mergeCell ref="A6035:B6035"/>
    <mergeCell ref="A6036:B6036"/>
    <mergeCell ref="A6037:B6037"/>
    <mergeCell ref="A6092:B6092"/>
    <mergeCell ref="A6093:B6093"/>
    <mergeCell ref="A6094:B6094"/>
    <mergeCell ref="A6095:B6095"/>
    <mergeCell ref="A6096:B6096"/>
    <mergeCell ref="A6097:B6097"/>
    <mergeCell ref="A6098:B6098"/>
    <mergeCell ref="A6099:B6099"/>
    <mergeCell ref="A6100:B6100"/>
    <mergeCell ref="A6083:B6083"/>
    <mergeCell ref="A6084:B6084"/>
    <mergeCell ref="A6085:B6085"/>
    <mergeCell ref="A6086:B6086"/>
    <mergeCell ref="A6087:B6087"/>
    <mergeCell ref="A6088:B6088"/>
    <mergeCell ref="A6089:B6089"/>
    <mergeCell ref="A6090:B6090"/>
    <mergeCell ref="A6091:B6091"/>
    <mergeCell ref="A6074:B6074"/>
    <mergeCell ref="A6075:B6075"/>
    <mergeCell ref="A6076:B6076"/>
    <mergeCell ref="A6077:B6077"/>
    <mergeCell ref="A6078:B6078"/>
    <mergeCell ref="A6079:B6079"/>
    <mergeCell ref="A6080:B6080"/>
    <mergeCell ref="A6081:B6081"/>
    <mergeCell ref="A6082:B6082"/>
    <mergeCell ref="A6065:B6065"/>
    <mergeCell ref="A6066:B6066"/>
    <mergeCell ref="A6067:B6067"/>
    <mergeCell ref="A6068:B6068"/>
    <mergeCell ref="A6069:B6069"/>
    <mergeCell ref="A6070:B6070"/>
    <mergeCell ref="A6071:B6071"/>
    <mergeCell ref="A6072:B6072"/>
    <mergeCell ref="A6073:B6073"/>
    <mergeCell ref="A6128:B6128"/>
    <mergeCell ref="A6129:B6129"/>
    <mergeCell ref="A6130:B6130"/>
    <mergeCell ref="A6131:B6131"/>
    <mergeCell ref="A6132:B6132"/>
    <mergeCell ref="A6133:B6133"/>
    <mergeCell ref="A6134:B6134"/>
    <mergeCell ref="A6135:B6135"/>
    <mergeCell ref="A6136:B6136"/>
    <mergeCell ref="A6119:B6119"/>
    <mergeCell ref="A6120:B6120"/>
    <mergeCell ref="A6121:B6121"/>
    <mergeCell ref="A6122:B6122"/>
    <mergeCell ref="A6123:B6123"/>
    <mergeCell ref="A6124:B6124"/>
    <mergeCell ref="A6125:B6125"/>
    <mergeCell ref="A6126:B6126"/>
    <mergeCell ref="A6127:B6127"/>
    <mergeCell ref="A6110:B6110"/>
    <mergeCell ref="A6111:B6111"/>
    <mergeCell ref="A6112:B6112"/>
    <mergeCell ref="A6113:B6113"/>
    <mergeCell ref="A6114:B6114"/>
    <mergeCell ref="A6115:B6115"/>
    <mergeCell ref="A6116:B6116"/>
    <mergeCell ref="A6117:B6117"/>
    <mergeCell ref="A6118:B6118"/>
    <mergeCell ref="A6101:B6101"/>
    <mergeCell ref="A6102:B6102"/>
    <mergeCell ref="A6103:B6103"/>
    <mergeCell ref="A6104:B6104"/>
    <mergeCell ref="A6105:B6105"/>
    <mergeCell ref="A6106:B6106"/>
    <mergeCell ref="A6107:B6107"/>
    <mergeCell ref="A6108:B6108"/>
    <mergeCell ref="A6109:B6109"/>
    <mergeCell ref="A6164:B6164"/>
    <mergeCell ref="A6165:B6165"/>
    <mergeCell ref="A6166:B6166"/>
    <mergeCell ref="A6167:B6167"/>
    <mergeCell ref="A6168:B6168"/>
    <mergeCell ref="A6169:B6169"/>
    <mergeCell ref="A6170:B6170"/>
    <mergeCell ref="A6171:B6171"/>
    <mergeCell ref="A6172:B6172"/>
    <mergeCell ref="A6155:B6155"/>
    <mergeCell ref="A6156:B6156"/>
    <mergeCell ref="A6157:B6157"/>
    <mergeCell ref="A6158:B6158"/>
    <mergeCell ref="A6159:B6159"/>
    <mergeCell ref="A6160:B6160"/>
    <mergeCell ref="A6161:B6161"/>
    <mergeCell ref="A6162:B6162"/>
    <mergeCell ref="A6163:B6163"/>
    <mergeCell ref="A6146:B6146"/>
    <mergeCell ref="A6147:B6147"/>
    <mergeCell ref="A6148:B6148"/>
    <mergeCell ref="A6149:B6149"/>
    <mergeCell ref="A6150:B6150"/>
    <mergeCell ref="A6151:B6151"/>
    <mergeCell ref="A6152:B6152"/>
    <mergeCell ref="A6153:B6153"/>
    <mergeCell ref="A6154:B6154"/>
    <mergeCell ref="A6137:B6137"/>
    <mergeCell ref="A6138:B6138"/>
    <mergeCell ref="A6139:B6139"/>
    <mergeCell ref="A6140:B6140"/>
    <mergeCell ref="A6141:B6141"/>
    <mergeCell ref="A6142:B6142"/>
    <mergeCell ref="A6143:B6143"/>
    <mergeCell ref="A6144:B6144"/>
    <mergeCell ref="A6145:B6145"/>
    <mergeCell ref="A6200:B6200"/>
    <mergeCell ref="A6201:B6201"/>
    <mergeCell ref="A6202:B6202"/>
    <mergeCell ref="A6203:B6203"/>
    <mergeCell ref="A6204:B6204"/>
    <mergeCell ref="A6205:B6205"/>
    <mergeCell ref="A6206:B6206"/>
    <mergeCell ref="A6207:B6207"/>
    <mergeCell ref="A6208:B6208"/>
    <mergeCell ref="A6191:B6191"/>
    <mergeCell ref="A6192:B6192"/>
    <mergeCell ref="A6193:B6193"/>
    <mergeCell ref="A6194:B6194"/>
    <mergeCell ref="A6195:B6195"/>
    <mergeCell ref="A6196:B6196"/>
    <mergeCell ref="A6197:B6197"/>
    <mergeCell ref="A6198:B6198"/>
    <mergeCell ref="A6199:B6199"/>
    <mergeCell ref="A6182:B6182"/>
    <mergeCell ref="A6183:B6183"/>
    <mergeCell ref="A6184:B6184"/>
    <mergeCell ref="A6185:B6185"/>
    <mergeCell ref="A6186:B6186"/>
    <mergeCell ref="A6187:B6187"/>
    <mergeCell ref="A6188:B6188"/>
    <mergeCell ref="A6189:B6189"/>
    <mergeCell ref="A6190:B6190"/>
    <mergeCell ref="A6173:B6173"/>
    <mergeCell ref="A6174:B6174"/>
    <mergeCell ref="A6175:B6175"/>
    <mergeCell ref="A6176:B6176"/>
    <mergeCell ref="A6177:B6177"/>
    <mergeCell ref="A6178:B6178"/>
    <mergeCell ref="A6179:B6179"/>
    <mergeCell ref="A6180:B6180"/>
    <mergeCell ref="A6181:B6181"/>
    <mergeCell ref="A6236:B6236"/>
    <mergeCell ref="A6237:B6237"/>
    <mergeCell ref="A6238:B6238"/>
    <mergeCell ref="A6239:B6239"/>
    <mergeCell ref="A6240:B6240"/>
    <mergeCell ref="A6241:B6241"/>
    <mergeCell ref="A6242:B6242"/>
    <mergeCell ref="A6243:B6243"/>
    <mergeCell ref="A6244:B6244"/>
    <mergeCell ref="A6227:B6227"/>
    <mergeCell ref="A6228:B6228"/>
    <mergeCell ref="A6229:B6229"/>
    <mergeCell ref="A6230:B6230"/>
    <mergeCell ref="A6231:B6231"/>
    <mergeCell ref="A6232:B6232"/>
    <mergeCell ref="A6233:B6233"/>
    <mergeCell ref="A6234:B6234"/>
    <mergeCell ref="A6235:B6235"/>
    <mergeCell ref="A6218:B6218"/>
    <mergeCell ref="A6219:B6219"/>
    <mergeCell ref="A6220:B6220"/>
    <mergeCell ref="A6221:B6221"/>
    <mergeCell ref="A6222:B6222"/>
    <mergeCell ref="A6223:B6223"/>
    <mergeCell ref="A6224:B6224"/>
    <mergeCell ref="A6225:B6225"/>
    <mergeCell ref="A6226:B6226"/>
    <mergeCell ref="A6209:B6209"/>
    <mergeCell ref="A6210:B6210"/>
    <mergeCell ref="A6211:B6211"/>
    <mergeCell ref="A6212:B6212"/>
    <mergeCell ref="A6213:B6213"/>
    <mergeCell ref="A6214:B6214"/>
    <mergeCell ref="A6215:B6215"/>
    <mergeCell ref="A6216:B6216"/>
    <mergeCell ref="A6217:B6217"/>
    <mergeCell ref="A6272:B6272"/>
    <mergeCell ref="A6273:B6273"/>
    <mergeCell ref="A6274:B6274"/>
    <mergeCell ref="A6275:B6275"/>
    <mergeCell ref="A6276:B6276"/>
    <mergeCell ref="A6277:B6277"/>
    <mergeCell ref="A6278:B6278"/>
    <mergeCell ref="A6279:B6279"/>
    <mergeCell ref="A6280:B6280"/>
    <mergeCell ref="A6263:B6263"/>
    <mergeCell ref="A6264:B6264"/>
    <mergeCell ref="A6265:B6265"/>
    <mergeCell ref="A6266:B6266"/>
    <mergeCell ref="A6267:B6267"/>
    <mergeCell ref="A6268:B6268"/>
    <mergeCell ref="A6269:B6269"/>
    <mergeCell ref="A6270:B6270"/>
    <mergeCell ref="A6271:B6271"/>
    <mergeCell ref="A6254:B6254"/>
    <mergeCell ref="A6255:B6255"/>
    <mergeCell ref="A6256:B6256"/>
    <mergeCell ref="A6257:B6257"/>
    <mergeCell ref="A6258:B6258"/>
    <mergeCell ref="A6259:B6259"/>
    <mergeCell ref="A6260:B6260"/>
    <mergeCell ref="A6261:B6261"/>
    <mergeCell ref="A6262:B6262"/>
    <mergeCell ref="A6245:B6245"/>
    <mergeCell ref="A6246:B6246"/>
    <mergeCell ref="A6247:B6247"/>
    <mergeCell ref="A6248:B6248"/>
    <mergeCell ref="A6249:B6249"/>
    <mergeCell ref="A6250:B6250"/>
    <mergeCell ref="A6251:B6251"/>
    <mergeCell ref="A6252:B6252"/>
    <mergeCell ref="A6253:B6253"/>
    <mergeCell ref="A6308:B6308"/>
    <mergeCell ref="A6309:B6309"/>
    <mergeCell ref="A6310:B6310"/>
    <mergeCell ref="A6311:B6311"/>
    <mergeCell ref="A6312:B6312"/>
    <mergeCell ref="A6313:B6313"/>
    <mergeCell ref="A6314:B6314"/>
    <mergeCell ref="A6315:B6315"/>
    <mergeCell ref="A6316:B6316"/>
    <mergeCell ref="A6299:B6299"/>
    <mergeCell ref="A6300:B6300"/>
    <mergeCell ref="A6301:B6301"/>
    <mergeCell ref="A6302:B6302"/>
    <mergeCell ref="A6303:B6303"/>
    <mergeCell ref="A6304:B6304"/>
    <mergeCell ref="A6305:B6305"/>
    <mergeCell ref="A6306:B6306"/>
    <mergeCell ref="A6307:B6307"/>
    <mergeCell ref="A6290:B6290"/>
    <mergeCell ref="A6291:B6291"/>
    <mergeCell ref="A6292:B6292"/>
    <mergeCell ref="A6293:B6293"/>
    <mergeCell ref="A6294:B6294"/>
    <mergeCell ref="A6295:B6295"/>
    <mergeCell ref="A6296:B6296"/>
    <mergeCell ref="A6297:B6297"/>
    <mergeCell ref="A6298:B6298"/>
    <mergeCell ref="A6281:B6281"/>
    <mergeCell ref="A6282:B6282"/>
    <mergeCell ref="A6283:B6283"/>
    <mergeCell ref="A6284:B6284"/>
    <mergeCell ref="A6285:B6285"/>
    <mergeCell ref="A6286:B6286"/>
    <mergeCell ref="A6287:B6287"/>
    <mergeCell ref="A6288:B6288"/>
    <mergeCell ref="A6289:B6289"/>
    <mergeCell ref="A6344:B6344"/>
    <mergeCell ref="A6345:B6345"/>
    <mergeCell ref="A6346:B6346"/>
    <mergeCell ref="A6347:B6347"/>
    <mergeCell ref="A6348:B6348"/>
    <mergeCell ref="A6349:B6349"/>
    <mergeCell ref="A6350:B6350"/>
    <mergeCell ref="A6351:B6351"/>
    <mergeCell ref="A6352:B6352"/>
    <mergeCell ref="A6335:B6335"/>
    <mergeCell ref="A6336:B6336"/>
    <mergeCell ref="A6337:B6337"/>
    <mergeCell ref="A6338:B6338"/>
    <mergeCell ref="A6339:B6339"/>
    <mergeCell ref="A6340:B6340"/>
    <mergeCell ref="A6341:B6341"/>
    <mergeCell ref="A6342:B6342"/>
    <mergeCell ref="A6343:B6343"/>
    <mergeCell ref="A6326:B6326"/>
    <mergeCell ref="A6327:B6327"/>
    <mergeCell ref="A6328:B6328"/>
    <mergeCell ref="A6329:B6329"/>
    <mergeCell ref="A6330:B6330"/>
    <mergeCell ref="A6331:B6331"/>
    <mergeCell ref="A6332:B6332"/>
    <mergeCell ref="A6333:B6333"/>
    <mergeCell ref="A6334:B6334"/>
    <mergeCell ref="A6317:B6317"/>
    <mergeCell ref="A6318:B6318"/>
    <mergeCell ref="A6319:B6319"/>
    <mergeCell ref="A6320:B6320"/>
    <mergeCell ref="A6321:B6321"/>
    <mergeCell ref="A6322:B6322"/>
    <mergeCell ref="A6323:B6323"/>
    <mergeCell ref="A6324:B6324"/>
    <mergeCell ref="A6325:B6325"/>
    <mergeCell ref="A6380:B6380"/>
    <mergeCell ref="A6381:B6381"/>
    <mergeCell ref="A6382:B6382"/>
    <mergeCell ref="A6383:B6383"/>
    <mergeCell ref="A6384:B6384"/>
    <mergeCell ref="A6385:B6385"/>
    <mergeCell ref="A6386:B6386"/>
    <mergeCell ref="A6387:B6387"/>
    <mergeCell ref="A6388:B6388"/>
    <mergeCell ref="A6371:B6371"/>
    <mergeCell ref="A6372:B6372"/>
    <mergeCell ref="A6373:B6373"/>
    <mergeCell ref="A6374:B6374"/>
    <mergeCell ref="A6375:B6375"/>
    <mergeCell ref="A6376:B6376"/>
    <mergeCell ref="A6377:B6377"/>
    <mergeCell ref="A6378:B6378"/>
    <mergeCell ref="A6379:B6379"/>
    <mergeCell ref="A6362:B6362"/>
    <mergeCell ref="A6363:B6363"/>
    <mergeCell ref="A6364:B6364"/>
    <mergeCell ref="A6365:B6365"/>
    <mergeCell ref="A6366:B6366"/>
    <mergeCell ref="A6367:B6367"/>
    <mergeCell ref="A6368:B6368"/>
    <mergeCell ref="A6369:B6369"/>
    <mergeCell ref="A6370:B6370"/>
    <mergeCell ref="A6353:B6353"/>
    <mergeCell ref="A6354:B6354"/>
    <mergeCell ref="A6355:B6355"/>
    <mergeCell ref="A6356:B6356"/>
    <mergeCell ref="A6357:B6357"/>
    <mergeCell ref="A6358:B6358"/>
    <mergeCell ref="A6359:B6359"/>
    <mergeCell ref="A6360:B6360"/>
    <mergeCell ref="A6361:B6361"/>
    <mergeCell ref="A6416:B6416"/>
    <mergeCell ref="A6417:B6417"/>
    <mergeCell ref="A6418:B6418"/>
    <mergeCell ref="A6419:B6419"/>
    <mergeCell ref="A6420:B6420"/>
    <mergeCell ref="A6421:B6421"/>
    <mergeCell ref="A6422:B6422"/>
    <mergeCell ref="A6423:B6423"/>
    <mergeCell ref="A6424:B6424"/>
    <mergeCell ref="A6407:B6407"/>
    <mergeCell ref="A6408:B6408"/>
    <mergeCell ref="A6409:B6409"/>
    <mergeCell ref="A6410:B6410"/>
    <mergeCell ref="A6411:B6411"/>
    <mergeCell ref="A6412:B6412"/>
    <mergeCell ref="A6413:B6413"/>
    <mergeCell ref="A6414:B6414"/>
    <mergeCell ref="A6415:B6415"/>
    <mergeCell ref="A6398:B6398"/>
    <mergeCell ref="A6399:B6399"/>
    <mergeCell ref="A6400:B6400"/>
    <mergeCell ref="A6401:B6401"/>
    <mergeCell ref="A6402:B6402"/>
    <mergeCell ref="A6403:B6403"/>
    <mergeCell ref="A6404:B6404"/>
    <mergeCell ref="A6405:B6405"/>
    <mergeCell ref="A6406:B6406"/>
    <mergeCell ref="A6389:B6389"/>
    <mergeCell ref="A6390:B6390"/>
    <mergeCell ref="A6391:B6391"/>
    <mergeCell ref="A6392:B6392"/>
    <mergeCell ref="A6393:B6393"/>
    <mergeCell ref="A6394:B6394"/>
    <mergeCell ref="A6395:B6395"/>
    <mergeCell ref="A6396:B6396"/>
    <mergeCell ref="A6397:B6397"/>
    <mergeCell ref="A6452:B6452"/>
    <mergeCell ref="A6453:B6453"/>
    <mergeCell ref="A6454:B6454"/>
    <mergeCell ref="A6455:B6455"/>
    <mergeCell ref="A6456:B6456"/>
    <mergeCell ref="A6457:B6457"/>
    <mergeCell ref="A6458:B6458"/>
    <mergeCell ref="A6459:B6459"/>
    <mergeCell ref="A6460:B6460"/>
    <mergeCell ref="A6443:B6443"/>
    <mergeCell ref="A6444:B6444"/>
    <mergeCell ref="A6445:B6445"/>
    <mergeCell ref="A6446:B6446"/>
    <mergeCell ref="A6447:B6447"/>
    <mergeCell ref="A6448:B6448"/>
    <mergeCell ref="A6449:B6449"/>
    <mergeCell ref="A6450:B6450"/>
    <mergeCell ref="A6451:B6451"/>
    <mergeCell ref="A6434:B6434"/>
    <mergeCell ref="A6435:B6435"/>
    <mergeCell ref="A6436:B6436"/>
    <mergeCell ref="A6437:B6437"/>
    <mergeCell ref="A6438:B6438"/>
    <mergeCell ref="A6439:B6439"/>
    <mergeCell ref="A6440:B6440"/>
    <mergeCell ref="A6441:B6441"/>
    <mergeCell ref="A6442:B6442"/>
    <mergeCell ref="A6425:B6425"/>
    <mergeCell ref="A6426:B6426"/>
    <mergeCell ref="A6427:B6427"/>
    <mergeCell ref="A6428:B6428"/>
    <mergeCell ref="A6429:B6429"/>
    <mergeCell ref="A6430:B6430"/>
    <mergeCell ref="A6431:B6431"/>
    <mergeCell ref="A6432:B6432"/>
    <mergeCell ref="A6433:B6433"/>
    <mergeCell ref="A6488:B6488"/>
    <mergeCell ref="A6489:B6489"/>
    <mergeCell ref="A6490:B6490"/>
    <mergeCell ref="A6491:B6491"/>
    <mergeCell ref="A6492:B6492"/>
    <mergeCell ref="A6493:B6493"/>
    <mergeCell ref="A6494:B6494"/>
    <mergeCell ref="A6495:B6495"/>
    <mergeCell ref="A6496:B6496"/>
    <mergeCell ref="A6479:B6479"/>
    <mergeCell ref="A6480:B6480"/>
    <mergeCell ref="A6481:B6481"/>
    <mergeCell ref="A6482:B6482"/>
    <mergeCell ref="A6483:B6483"/>
    <mergeCell ref="A6484:B6484"/>
    <mergeCell ref="A6485:B6485"/>
    <mergeCell ref="A6486:B6486"/>
    <mergeCell ref="A6487:B6487"/>
    <mergeCell ref="A6470:B6470"/>
    <mergeCell ref="A6471:B6471"/>
    <mergeCell ref="A6472:B6472"/>
    <mergeCell ref="A6473:B6473"/>
    <mergeCell ref="A6474:B6474"/>
    <mergeCell ref="A6475:B6475"/>
    <mergeCell ref="A6476:B6476"/>
    <mergeCell ref="A6477:B6477"/>
    <mergeCell ref="A6478:B6478"/>
    <mergeCell ref="A6461:B6461"/>
    <mergeCell ref="A6462:B6462"/>
    <mergeCell ref="A6463:B6463"/>
    <mergeCell ref="A6464:B6464"/>
    <mergeCell ref="A6465:B6465"/>
    <mergeCell ref="A6466:B6466"/>
    <mergeCell ref="A6467:B6467"/>
    <mergeCell ref="A6468:B6468"/>
    <mergeCell ref="A6469:B6469"/>
    <mergeCell ref="A6524:B6524"/>
    <mergeCell ref="A6525:B6525"/>
    <mergeCell ref="A6526:B6526"/>
    <mergeCell ref="A6527:B6527"/>
    <mergeCell ref="A6528:B6528"/>
    <mergeCell ref="A6529:B6529"/>
    <mergeCell ref="A6530:B6530"/>
    <mergeCell ref="A6531:B6531"/>
    <mergeCell ref="A6532:B6532"/>
    <mergeCell ref="A6515:B6515"/>
    <mergeCell ref="A6516:B6516"/>
    <mergeCell ref="A6517:B6517"/>
    <mergeCell ref="A6518:B6518"/>
    <mergeCell ref="A6519:B6519"/>
    <mergeCell ref="A6520:B6520"/>
    <mergeCell ref="A6521:B6521"/>
    <mergeCell ref="A6522:B6522"/>
    <mergeCell ref="A6523:B6523"/>
    <mergeCell ref="A6506:B6506"/>
    <mergeCell ref="A6507:B6507"/>
    <mergeCell ref="A6508:B6508"/>
    <mergeCell ref="A6509:B6509"/>
    <mergeCell ref="A6510:B6510"/>
    <mergeCell ref="A6511:B6511"/>
    <mergeCell ref="A6512:B6512"/>
    <mergeCell ref="A6513:B6513"/>
    <mergeCell ref="A6514:B6514"/>
    <mergeCell ref="A6497:B6497"/>
    <mergeCell ref="A6498:B6498"/>
    <mergeCell ref="A6499:B6499"/>
    <mergeCell ref="A6500:B6500"/>
    <mergeCell ref="A6501:B6501"/>
    <mergeCell ref="A6502:B6502"/>
    <mergeCell ref="A6503:B6503"/>
    <mergeCell ref="A6504:B6504"/>
    <mergeCell ref="A6505:B6505"/>
    <mergeCell ref="A6560:B6560"/>
    <mergeCell ref="A6561:B6561"/>
    <mergeCell ref="A6562:B6562"/>
    <mergeCell ref="A6563:B6563"/>
    <mergeCell ref="A6564:B6564"/>
    <mergeCell ref="A6565:B6565"/>
    <mergeCell ref="A6566:B6566"/>
    <mergeCell ref="A6567:B6567"/>
    <mergeCell ref="A6568:B6568"/>
    <mergeCell ref="A6551:B6551"/>
    <mergeCell ref="A6552:B6552"/>
    <mergeCell ref="A6553:B6553"/>
    <mergeCell ref="A6554:B6554"/>
    <mergeCell ref="A6555:B6555"/>
    <mergeCell ref="A6556:B6556"/>
    <mergeCell ref="A6557:B6557"/>
    <mergeCell ref="A6558:B6558"/>
    <mergeCell ref="A6559:B6559"/>
    <mergeCell ref="A6542:B6542"/>
    <mergeCell ref="A6543:B6543"/>
    <mergeCell ref="A6544:B6544"/>
    <mergeCell ref="A6545:B6545"/>
    <mergeCell ref="A6546:B6546"/>
    <mergeCell ref="A6547:B6547"/>
    <mergeCell ref="A6548:B6548"/>
    <mergeCell ref="A6549:B6549"/>
    <mergeCell ref="A6550:B6550"/>
    <mergeCell ref="A6533:B6533"/>
    <mergeCell ref="A6534:B6534"/>
    <mergeCell ref="A6535:B6535"/>
    <mergeCell ref="A6536:B6536"/>
    <mergeCell ref="A6537:B6537"/>
    <mergeCell ref="A6538:B6538"/>
    <mergeCell ref="A6539:B6539"/>
    <mergeCell ref="A6540:B6540"/>
    <mergeCell ref="A6541:B6541"/>
    <mergeCell ref="A6596:B6596"/>
    <mergeCell ref="A6597:B6597"/>
    <mergeCell ref="A6598:B6598"/>
    <mergeCell ref="A6599:B6599"/>
    <mergeCell ref="A6600:B6600"/>
    <mergeCell ref="A6601:B6601"/>
    <mergeCell ref="A6602:B6602"/>
    <mergeCell ref="A6603:B6603"/>
    <mergeCell ref="A6604:B6604"/>
    <mergeCell ref="A6587:B6587"/>
    <mergeCell ref="A6588:B6588"/>
    <mergeCell ref="A6589:B6589"/>
    <mergeCell ref="A6590:B6590"/>
    <mergeCell ref="A6591:B6591"/>
    <mergeCell ref="A6592:B6592"/>
    <mergeCell ref="A6593:B6593"/>
    <mergeCell ref="A6594:B6594"/>
    <mergeCell ref="A6595:B6595"/>
    <mergeCell ref="A6578:B6578"/>
    <mergeCell ref="A6579:B6579"/>
    <mergeCell ref="A6580:B6580"/>
    <mergeCell ref="A6581:B6581"/>
    <mergeCell ref="A6582:B6582"/>
    <mergeCell ref="A6583:B6583"/>
    <mergeCell ref="A6584:B6584"/>
    <mergeCell ref="A6585:B6585"/>
    <mergeCell ref="A6586:B6586"/>
    <mergeCell ref="A6569:B6569"/>
    <mergeCell ref="A6570:B6570"/>
    <mergeCell ref="A6571:B6571"/>
    <mergeCell ref="A6572:B6572"/>
    <mergeCell ref="A6573:B6573"/>
    <mergeCell ref="A6574:B6574"/>
    <mergeCell ref="A6575:B6575"/>
    <mergeCell ref="A6576:B6576"/>
    <mergeCell ref="A6577:B6577"/>
    <mergeCell ref="A6632:B6632"/>
    <mergeCell ref="A6633:B6633"/>
    <mergeCell ref="A6634:B6634"/>
    <mergeCell ref="A6635:B6635"/>
    <mergeCell ref="A6636:B6636"/>
    <mergeCell ref="A6637:B6637"/>
    <mergeCell ref="A6638:B6638"/>
    <mergeCell ref="A6639:B6639"/>
    <mergeCell ref="A6640:B6640"/>
    <mergeCell ref="A6623:B6623"/>
    <mergeCell ref="A6624:B6624"/>
    <mergeCell ref="A6625:B6625"/>
    <mergeCell ref="A6626:B6626"/>
    <mergeCell ref="A6627:B6627"/>
    <mergeCell ref="A6628:B6628"/>
    <mergeCell ref="A6629:B6629"/>
    <mergeCell ref="A6630:B6630"/>
    <mergeCell ref="A6631:B6631"/>
    <mergeCell ref="A6614:B6614"/>
    <mergeCell ref="A6615:B6615"/>
    <mergeCell ref="A6616:B6616"/>
    <mergeCell ref="A6617:B6617"/>
    <mergeCell ref="A6618:B6618"/>
    <mergeCell ref="A6619:B6619"/>
    <mergeCell ref="A6620:B6620"/>
    <mergeCell ref="A6621:B6621"/>
    <mergeCell ref="A6622:B6622"/>
    <mergeCell ref="A6605:B6605"/>
    <mergeCell ref="A6606:B6606"/>
    <mergeCell ref="A6607:B6607"/>
    <mergeCell ref="A6608:B6608"/>
    <mergeCell ref="A6609:B6609"/>
    <mergeCell ref="A6610:B6610"/>
    <mergeCell ref="A6611:B6611"/>
    <mergeCell ref="A6612:B6612"/>
    <mergeCell ref="A6613:B6613"/>
    <mergeCell ref="A6668:B6668"/>
    <mergeCell ref="A6669:B6669"/>
    <mergeCell ref="A6670:B6670"/>
    <mergeCell ref="A6671:B6671"/>
    <mergeCell ref="A6672:B6672"/>
    <mergeCell ref="A6673:B6673"/>
    <mergeCell ref="A6674:B6674"/>
    <mergeCell ref="A6675:B6675"/>
    <mergeCell ref="A6676:B6676"/>
    <mergeCell ref="A6659:B6659"/>
    <mergeCell ref="A6660:B6660"/>
    <mergeCell ref="A6661:B6661"/>
    <mergeCell ref="A6662:B6662"/>
    <mergeCell ref="A6663:B6663"/>
    <mergeCell ref="A6664:B6664"/>
    <mergeCell ref="A6665:B6665"/>
    <mergeCell ref="A6666:B6666"/>
    <mergeCell ref="A6667:B6667"/>
    <mergeCell ref="A6650:B6650"/>
    <mergeCell ref="A6651:B6651"/>
    <mergeCell ref="A6652:B6652"/>
    <mergeCell ref="A6653:B6653"/>
    <mergeCell ref="A6654:B6654"/>
    <mergeCell ref="A6655:B6655"/>
    <mergeCell ref="A6656:B6656"/>
    <mergeCell ref="A6657:B6657"/>
    <mergeCell ref="A6658:B6658"/>
    <mergeCell ref="A6641:B6641"/>
    <mergeCell ref="A6642:B6642"/>
    <mergeCell ref="A6643:B6643"/>
    <mergeCell ref="A6644:B6644"/>
    <mergeCell ref="A6645:B6645"/>
    <mergeCell ref="A6646:B6646"/>
    <mergeCell ref="A6647:B6647"/>
    <mergeCell ref="A6648:B6648"/>
    <mergeCell ref="A6649:B6649"/>
    <mergeCell ref="A6704:B6704"/>
    <mergeCell ref="A6705:B6705"/>
    <mergeCell ref="A6706:B6706"/>
    <mergeCell ref="A6707:B6707"/>
    <mergeCell ref="A6708:B6708"/>
    <mergeCell ref="A6709:B6709"/>
    <mergeCell ref="A6710:B6710"/>
    <mergeCell ref="A6711:B6711"/>
    <mergeCell ref="A6712:B6712"/>
    <mergeCell ref="A6695:B6695"/>
    <mergeCell ref="A6696:B6696"/>
    <mergeCell ref="A6697:B6697"/>
    <mergeCell ref="A6698:B6698"/>
    <mergeCell ref="A6699:B6699"/>
    <mergeCell ref="A6700:B6700"/>
    <mergeCell ref="A6701:B6701"/>
    <mergeCell ref="A6702:B6702"/>
    <mergeCell ref="A6703:B6703"/>
    <mergeCell ref="A6686:B6686"/>
    <mergeCell ref="A6687:B6687"/>
    <mergeCell ref="A6688:B6688"/>
    <mergeCell ref="A6689:B6689"/>
    <mergeCell ref="A6690:B6690"/>
    <mergeCell ref="A6691:B6691"/>
    <mergeCell ref="A6692:B6692"/>
    <mergeCell ref="A6693:B6693"/>
    <mergeCell ref="A6694:B6694"/>
    <mergeCell ref="A6677:B6677"/>
    <mergeCell ref="A6678:B6678"/>
    <mergeCell ref="A6679:B6679"/>
    <mergeCell ref="A6680:B6680"/>
    <mergeCell ref="A6681:B6681"/>
    <mergeCell ref="A6682:B6682"/>
    <mergeCell ref="A6683:B6683"/>
    <mergeCell ref="A6684:B6684"/>
    <mergeCell ref="A6685:B6685"/>
    <mergeCell ref="A6740:B6740"/>
    <mergeCell ref="A6741:B6741"/>
    <mergeCell ref="A6742:B6742"/>
    <mergeCell ref="A6743:B6743"/>
    <mergeCell ref="A6744:B6744"/>
    <mergeCell ref="A6745:B6745"/>
    <mergeCell ref="A6746:B6746"/>
    <mergeCell ref="A6747:B6747"/>
    <mergeCell ref="A6748:B6748"/>
    <mergeCell ref="A6731:B6731"/>
    <mergeCell ref="A6732:B6732"/>
    <mergeCell ref="A6733:B6733"/>
    <mergeCell ref="A6734:B6734"/>
    <mergeCell ref="A6735:B6735"/>
    <mergeCell ref="A6736:B6736"/>
    <mergeCell ref="A6737:B6737"/>
    <mergeCell ref="A6738:B6738"/>
    <mergeCell ref="A6739:B6739"/>
    <mergeCell ref="A6722:B6722"/>
    <mergeCell ref="A6723:B6723"/>
    <mergeCell ref="A6724:B6724"/>
    <mergeCell ref="A6725:B6725"/>
    <mergeCell ref="A6726:B6726"/>
    <mergeCell ref="A6727:B6727"/>
    <mergeCell ref="A6728:B6728"/>
    <mergeCell ref="A6729:B6729"/>
    <mergeCell ref="A6730:B6730"/>
    <mergeCell ref="A6713:B6713"/>
    <mergeCell ref="A6714:B6714"/>
    <mergeCell ref="A6715:B6715"/>
    <mergeCell ref="A6716:B6716"/>
    <mergeCell ref="A6717:B6717"/>
    <mergeCell ref="A6718:B6718"/>
    <mergeCell ref="A6719:B6719"/>
    <mergeCell ref="A6720:B6720"/>
    <mergeCell ref="A6721:B6721"/>
    <mergeCell ref="A6776:B6776"/>
    <mergeCell ref="A6777:B6777"/>
    <mergeCell ref="A6778:B6778"/>
    <mergeCell ref="A6779:B6779"/>
    <mergeCell ref="A6780:B6780"/>
    <mergeCell ref="A6781:B6781"/>
    <mergeCell ref="A6782:B6782"/>
    <mergeCell ref="A6783:B6783"/>
    <mergeCell ref="A6784:B6784"/>
    <mergeCell ref="A6767:B6767"/>
    <mergeCell ref="A6768:B6768"/>
    <mergeCell ref="A6769:B6769"/>
    <mergeCell ref="A6770:B6770"/>
    <mergeCell ref="A6771:B6771"/>
    <mergeCell ref="A6772:B6772"/>
    <mergeCell ref="A6773:B6773"/>
    <mergeCell ref="A6774:B6774"/>
    <mergeCell ref="A6775:B6775"/>
    <mergeCell ref="A6758:B6758"/>
    <mergeCell ref="A6759:B6759"/>
    <mergeCell ref="A6760:B6760"/>
    <mergeCell ref="A6761:B6761"/>
    <mergeCell ref="A6762:B6762"/>
    <mergeCell ref="A6763:B6763"/>
    <mergeCell ref="A6764:B6764"/>
    <mergeCell ref="A6765:B6765"/>
    <mergeCell ref="A6766:B6766"/>
    <mergeCell ref="A6749:B6749"/>
    <mergeCell ref="A6750:B6750"/>
    <mergeCell ref="A6751:B6751"/>
    <mergeCell ref="A6752:B6752"/>
    <mergeCell ref="A6753:B6753"/>
    <mergeCell ref="A6754:B6754"/>
    <mergeCell ref="A6755:B6755"/>
    <mergeCell ref="A6756:B6756"/>
    <mergeCell ref="A6757:B6757"/>
    <mergeCell ref="A6812:B6812"/>
    <mergeCell ref="A6813:B6813"/>
    <mergeCell ref="A6814:B6814"/>
    <mergeCell ref="A6815:B6815"/>
    <mergeCell ref="A6816:B6816"/>
    <mergeCell ref="A6817:B6817"/>
    <mergeCell ref="A6818:B6818"/>
    <mergeCell ref="A6819:B6819"/>
    <mergeCell ref="A6820:B6820"/>
    <mergeCell ref="A6803:B6803"/>
    <mergeCell ref="A6804:B6804"/>
    <mergeCell ref="A6805:B6805"/>
    <mergeCell ref="A6806:B6806"/>
    <mergeCell ref="A6807:B6807"/>
    <mergeCell ref="A6808:B6808"/>
    <mergeCell ref="A6809:B6809"/>
    <mergeCell ref="A6810:B6810"/>
    <mergeCell ref="A6811:B6811"/>
    <mergeCell ref="A6794:B6794"/>
    <mergeCell ref="A6795:B6795"/>
    <mergeCell ref="A6796:B6796"/>
    <mergeCell ref="A6797:B6797"/>
    <mergeCell ref="A6798:B6798"/>
    <mergeCell ref="A6799:B6799"/>
    <mergeCell ref="A6800:B6800"/>
    <mergeCell ref="A6801:B6801"/>
    <mergeCell ref="A6802:B6802"/>
    <mergeCell ref="A6785:B6785"/>
    <mergeCell ref="A6786:B6786"/>
    <mergeCell ref="A6787:B6787"/>
    <mergeCell ref="A6788:B6788"/>
    <mergeCell ref="A6789:B6789"/>
    <mergeCell ref="A6790:B6790"/>
    <mergeCell ref="A6791:B6791"/>
    <mergeCell ref="A6792:B6792"/>
    <mergeCell ref="A6793:B6793"/>
    <mergeCell ref="A6848:B6848"/>
    <mergeCell ref="A6849:B6849"/>
    <mergeCell ref="A6850:B6850"/>
    <mergeCell ref="A6851:B6851"/>
    <mergeCell ref="A6852:B6852"/>
    <mergeCell ref="A6853:B6853"/>
    <mergeCell ref="A6854:B6854"/>
    <mergeCell ref="A6855:B6855"/>
    <mergeCell ref="A6856:B6856"/>
    <mergeCell ref="A6839:B6839"/>
    <mergeCell ref="A6840:B6840"/>
    <mergeCell ref="A6841:B6841"/>
    <mergeCell ref="A6842:B6842"/>
    <mergeCell ref="A6843:B6843"/>
    <mergeCell ref="A6844:B6844"/>
    <mergeCell ref="A6845:B6845"/>
    <mergeCell ref="A6846:B6846"/>
    <mergeCell ref="A6847:B6847"/>
    <mergeCell ref="A6830:B6830"/>
    <mergeCell ref="A6831:B6831"/>
    <mergeCell ref="A6832:B6832"/>
    <mergeCell ref="A6833:B6833"/>
    <mergeCell ref="A6834:B6834"/>
    <mergeCell ref="A6835:B6835"/>
    <mergeCell ref="A6836:B6836"/>
    <mergeCell ref="A6837:B6837"/>
    <mergeCell ref="A6838:B6838"/>
    <mergeCell ref="A6821:B6821"/>
    <mergeCell ref="A6822:B6822"/>
    <mergeCell ref="A6823:B6823"/>
    <mergeCell ref="A6824:B6824"/>
    <mergeCell ref="A6825:B6825"/>
    <mergeCell ref="A6826:B6826"/>
    <mergeCell ref="A6827:B6827"/>
    <mergeCell ref="A6828:B6828"/>
    <mergeCell ref="A6829:B6829"/>
    <mergeCell ref="A6897:B6897"/>
    <mergeCell ref="A6898:B6898"/>
    <mergeCell ref="A6899:B6899"/>
    <mergeCell ref="A6900:B6900"/>
    <mergeCell ref="A6901:B6901"/>
    <mergeCell ref="A6884:B6884"/>
    <mergeCell ref="A6885:B6885"/>
    <mergeCell ref="A6886:B6886"/>
    <mergeCell ref="A6887:B6887"/>
    <mergeCell ref="A6888:B6888"/>
    <mergeCell ref="A6889:B6889"/>
    <mergeCell ref="A6890:B6890"/>
    <mergeCell ref="A6891:B6891"/>
    <mergeCell ref="A6892:B6892"/>
    <mergeCell ref="A6875:B6875"/>
    <mergeCell ref="A6876:B6876"/>
    <mergeCell ref="A6877:B6877"/>
    <mergeCell ref="A6878:B6878"/>
    <mergeCell ref="A6879:B6879"/>
    <mergeCell ref="A6880:B6880"/>
    <mergeCell ref="A6881:B6881"/>
    <mergeCell ref="A6882:B6882"/>
    <mergeCell ref="A6883:B6883"/>
    <mergeCell ref="A6866:B6866"/>
    <mergeCell ref="A6867:B6867"/>
    <mergeCell ref="A6868:B6868"/>
    <mergeCell ref="A6869:B6869"/>
    <mergeCell ref="A6870:B6870"/>
    <mergeCell ref="A6871:B6871"/>
    <mergeCell ref="A6872:B6872"/>
    <mergeCell ref="A6873:B6873"/>
    <mergeCell ref="A6874:B6874"/>
    <mergeCell ref="A6857:B6857"/>
    <mergeCell ref="A6858:B6858"/>
    <mergeCell ref="A6859:B6859"/>
    <mergeCell ref="A6860:B6860"/>
    <mergeCell ref="A6861:B6861"/>
    <mergeCell ref="A6862:B6862"/>
    <mergeCell ref="A6863:B6863"/>
    <mergeCell ref="A6864:B6864"/>
    <mergeCell ref="A6865:B6865"/>
    <mergeCell ref="A5161:B5161"/>
    <mergeCell ref="A5162:B5162"/>
    <mergeCell ref="A5163:B5163"/>
    <mergeCell ref="A5164:B5164"/>
    <mergeCell ref="A5165:B5165"/>
    <mergeCell ref="A5166:B5166"/>
    <mergeCell ref="A5167:B5167"/>
    <mergeCell ref="A5168:B5168"/>
    <mergeCell ref="A5169:B5169"/>
    <mergeCell ref="A5152:B5152"/>
    <mergeCell ref="A5153:B5153"/>
    <mergeCell ref="A5154:B5154"/>
    <mergeCell ref="A5155:B5155"/>
    <mergeCell ref="A5156:B5156"/>
    <mergeCell ref="A5157:B5157"/>
    <mergeCell ref="A5158:B5158"/>
    <mergeCell ref="A5159:B5159"/>
    <mergeCell ref="A5160:B5160"/>
    <mergeCell ref="A6920:B6920"/>
    <mergeCell ref="A6921:B6921"/>
    <mergeCell ref="A6922:B6922"/>
    <mergeCell ref="A6923:B6923"/>
    <mergeCell ref="A6924:B6924"/>
    <mergeCell ref="A5133:B5133"/>
    <mergeCell ref="A5134:B5134"/>
    <mergeCell ref="A5135:B5135"/>
    <mergeCell ref="A5136:B5136"/>
    <mergeCell ref="A5137:B5137"/>
    <mergeCell ref="A5138:B5138"/>
    <mergeCell ref="A5139:B5139"/>
    <mergeCell ref="A5140:B5140"/>
    <mergeCell ref="A5141:B5141"/>
    <mergeCell ref="A5142:B5142"/>
    <mergeCell ref="A5143:B5143"/>
    <mergeCell ref="A5144:B5144"/>
    <mergeCell ref="A5145:B5145"/>
    <mergeCell ref="A5146:B5146"/>
    <mergeCell ref="A5147:B5147"/>
    <mergeCell ref="A5148:B5148"/>
    <mergeCell ref="A5149:B5149"/>
    <mergeCell ref="A5150:B5150"/>
    <mergeCell ref="A5151:B5151"/>
    <mergeCell ref="A6911:B6911"/>
    <mergeCell ref="A6912:B6912"/>
    <mergeCell ref="A6913:B6913"/>
    <mergeCell ref="A6914:B6914"/>
    <mergeCell ref="A6915:B6915"/>
    <mergeCell ref="A6916:B6916"/>
    <mergeCell ref="A6917:B6917"/>
    <mergeCell ref="A6918:B6918"/>
    <mergeCell ref="A6919:B6919"/>
    <mergeCell ref="A6902:B6902"/>
    <mergeCell ref="A6903:B6903"/>
    <mergeCell ref="A6904:B6904"/>
    <mergeCell ref="A6905:B6905"/>
    <mergeCell ref="A6906:B6906"/>
    <mergeCell ref="A6907:B6907"/>
    <mergeCell ref="A6908:B6908"/>
    <mergeCell ref="A6909:B6909"/>
    <mergeCell ref="A6910:B6910"/>
    <mergeCell ref="A6893:B6893"/>
    <mergeCell ref="A6894:B6894"/>
    <mergeCell ref="A6895:B6895"/>
    <mergeCell ref="A6896:B6896"/>
    <mergeCell ref="A5197:B5197"/>
    <mergeCell ref="A5198:B5198"/>
    <mergeCell ref="A5199:B5199"/>
    <mergeCell ref="A5200:B5200"/>
    <mergeCell ref="A5201:B5201"/>
    <mergeCell ref="A5202:B5202"/>
    <mergeCell ref="A5203:B5203"/>
    <mergeCell ref="A5204:B5204"/>
    <mergeCell ref="A5205:B5205"/>
    <mergeCell ref="A5188:B5188"/>
    <mergeCell ref="A5189:B5189"/>
    <mergeCell ref="A5190:B5190"/>
    <mergeCell ref="A5191:B5191"/>
    <mergeCell ref="A5192:B5192"/>
    <mergeCell ref="A5193:B5193"/>
    <mergeCell ref="A5194:B5194"/>
    <mergeCell ref="A5195:B5195"/>
    <mergeCell ref="A5196:B5196"/>
    <mergeCell ref="A5179:B5179"/>
    <mergeCell ref="A5180:B5180"/>
    <mergeCell ref="A5181:B5181"/>
    <mergeCell ref="A5182:B5182"/>
    <mergeCell ref="A5183:B5183"/>
    <mergeCell ref="A5184:B5184"/>
    <mergeCell ref="A5185:B5185"/>
    <mergeCell ref="A5186:B5186"/>
    <mergeCell ref="A5187:B5187"/>
    <mergeCell ref="A5170:B5170"/>
    <mergeCell ref="A5171:B5171"/>
    <mergeCell ref="A5172:B5172"/>
    <mergeCell ref="A5173:B5173"/>
    <mergeCell ref="A5174:B5174"/>
    <mergeCell ref="A5175:B5175"/>
    <mergeCell ref="A5176:B5176"/>
    <mergeCell ref="A5177:B5177"/>
    <mergeCell ref="A5178:B5178"/>
    <mergeCell ref="A5233:B5233"/>
    <mergeCell ref="A5234:B5234"/>
    <mergeCell ref="A5235:B5235"/>
    <mergeCell ref="A5236:B5236"/>
    <mergeCell ref="A5237:B5237"/>
    <mergeCell ref="A5238:B5238"/>
    <mergeCell ref="A5239:B5239"/>
    <mergeCell ref="A5240:B5240"/>
    <mergeCell ref="A5241:B5241"/>
    <mergeCell ref="A5224:B5224"/>
    <mergeCell ref="A5225:B5225"/>
    <mergeCell ref="A5226:B5226"/>
    <mergeCell ref="A5227:B5227"/>
    <mergeCell ref="A5228:B5228"/>
    <mergeCell ref="A5229:B5229"/>
    <mergeCell ref="A5230:B5230"/>
    <mergeCell ref="A5231:B5231"/>
    <mergeCell ref="A5232:B5232"/>
    <mergeCell ref="A5215:B5215"/>
    <mergeCell ref="A5216:B5216"/>
    <mergeCell ref="A5217:B5217"/>
    <mergeCell ref="A5218:B5218"/>
    <mergeCell ref="A5219:B5219"/>
    <mergeCell ref="A5220:B5220"/>
    <mergeCell ref="A5221:B5221"/>
    <mergeCell ref="A5222:B5222"/>
    <mergeCell ref="A5223:B5223"/>
    <mergeCell ref="A5206:B5206"/>
    <mergeCell ref="A5207:B5207"/>
    <mergeCell ref="A5208:B5208"/>
    <mergeCell ref="A5209:B5209"/>
    <mergeCell ref="A5210:B5210"/>
    <mergeCell ref="A5211:B5211"/>
    <mergeCell ref="A5212:B5212"/>
    <mergeCell ref="A5213:B5213"/>
    <mergeCell ref="A5214:B5214"/>
    <mergeCell ref="A5269:B5269"/>
    <mergeCell ref="A5270:B5270"/>
    <mergeCell ref="A5271:B5271"/>
    <mergeCell ref="A5272:B5272"/>
    <mergeCell ref="A5273:B5273"/>
    <mergeCell ref="A5274:B5274"/>
    <mergeCell ref="A5275:B5275"/>
    <mergeCell ref="A5276:B5276"/>
    <mergeCell ref="A5277:B5277"/>
    <mergeCell ref="A5260:B5260"/>
    <mergeCell ref="A5261:B5261"/>
    <mergeCell ref="A5262:B5262"/>
    <mergeCell ref="A5263:B5263"/>
    <mergeCell ref="A5264:B5264"/>
    <mergeCell ref="A5265:B5265"/>
    <mergeCell ref="A5266:B5266"/>
    <mergeCell ref="A5267:B5267"/>
    <mergeCell ref="A5268:B5268"/>
    <mergeCell ref="A5251:B5251"/>
    <mergeCell ref="A5252:B5252"/>
    <mergeCell ref="A5253:B5253"/>
    <mergeCell ref="A5254:B5254"/>
    <mergeCell ref="A5255:B5255"/>
    <mergeCell ref="A5256:B5256"/>
    <mergeCell ref="A5257:B5257"/>
    <mergeCell ref="A5258:B5258"/>
    <mergeCell ref="A5259:B5259"/>
    <mergeCell ref="A5242:B5242"/>
    <mergeCell ref="A5243:B5243"/>
    <mergeCell ref="A5244:B5244"/>
    <mergeCell ref="A5245:B5245"/>
    <mergeCell ref="A5246:B5246"/>
    <mergeCell ref="A5247:B5247"/>
    <mergeCell ref="A5248:B5248"/>
    <mergeCell ref="A5249:B5249"/>
    <mergeCell ref="A5250:B5250"/>
    <mergeCell ref="A5305:B5305"/>
    <mergeCell ref="A5306:B5306"/>
    <mergeCell ref="A5307:B5307"/>
    <mergeCell ref="A5308:B5308"/>
    <mergeCell ref="A5309:B5309"/>
    <mergeCell ref="A5310:B5310"/>
    <mergeCell ref="A5311:B5311"/>
    <mergeCell ref="A5312:B5312"/>
    <mergeCell ref="A5313:B5313"/>
    <mergeCell ref="A5296:B5296"/>
    <mergeCell ref="A5297:B5297"/>
    <mergeCell ref="A5298:B5298"/>
    <mergeCell ref="A5299:B5299"/>
    <mergeCell ref="A5300:B5300"/>
    <mergeCell ref="A5301:B5301"/>
    <mergeCell ref="A5302:B5302"/>
    <mergeCell ref="A5303:B5303"/>
    <mergeCell ref="A5304:B5304"/>
    <mergeCell ref="A5287:B5287"/>
    <mergeCell ref="A5288:B5288"/>
    <mergeCell ref="A5289:B5289"/>
    <mergeCell ref="A5290:B5290"/>
    <mergeCell ref="A5291:B5291"/>
    <mergeCell ref="A5292:B5292"/>
    <mergeCell ref="A5293:B5293"/>
    <mergeCell ref="A5294:B5294"/>
    <mergeCell ref="A5295:B5295"/>
    <mergeCell ref="A5278:B5278"/>
    <mergeCell ref="A5279:B5279"/>
    <mergeCell ref="A5280:B5280"/>
    <mergeCell ref="A5281:B5281"/>
    <mergeCell ref="A5282:B5282"/>
    <mergeCell ref="A5283:B5283"/>
    <mergeCell ref="A5284:B5284"/>
    <mergeCell ref="A5285:B5285"/>
    <mergeCell ref="A5286:B5286"/>
    <mergeCell ref="A5341:B5341"/>
    <mergeCell ref="A5342:B5342"/>
    <mergeCell ref="A5343:B5343"/>
    <mergeCell ref="A5344:B5344"/>
    <mergeCell ref="A5345:B5345"/>
    <mergeCell ref="A5346:B5346"/>
    <mergeCell ref="A5347:B5347"/>
    <mergeCell ref="A5348:B5348"/>
    <mergeCell ref="A5349:B5349"/>
    <mergeCell ref="A5332:B5332"/>
    <mergeCell ref="A5333:B5333"/>
    <mergeCell ref="A5334:B5334"/>
    <mergeCell ref="A5335:B5335"/>
    <mergeCell ref="A5336:B5336"/>
    <mergeCell ref="A5337:B5337"/>
    <mergeCell ref="A5338:B5338"/>
    <mergeCell ref="A5339:B5339"/>
    <mergeCell ref="A5340:B5340"/>
    <mergeCell ref="A5323:B5323"/>
    <mergeCell ref="A5324:B5324"/>
    <mergeCell ref="A5325:B5325"/>
    <mergeCell ref="A5326:B5326"/>
    <mergeCell ref="A5327:B5327"/>
    <mergeCell ref="A5328:B5328"/>
    <mergeCell ref="A5329:B5329"/>
    <mergeCell ref="A5330:B5330"/>
    <mergeCell ref="A5331:B5331"/>
    <mergeCell ref="A5314:B5314"/>
    <mergeCell ref="A5315:B5315"/>
    <mergeCell ref="A5316:B5316"/>
    <mergeCell ref="A5317:B5317"/>
    <mergeCell ref="A5318:B5318"/>
    <mergeCell ref="A5319:B5319"/>
    <mergeCell ref="A5320:B5320"/>
    <mergeCell ref="A5321:B5321"/>
    <mergeCell ref="A5322:B5322"/>
    <mergeCell ref="A5377:B5377"/>
    <mergeCell ref="A5378:B5378"/>
    <mergeCell ref="A5379:B5379"/>
    <mergeCell ref="A5380:B5380"/>
    <mergeCell ref="A5381:B5381"/>
    <mergeCell ref="A5382:B5382"/>
    <mergeCell ref="A5383:B5383"/>
    <mergeCell ref="A5384:B5384"/>
    <mergeCell ref="A5385:B5385"/>
    <mergeCell ref="A5368:B5368"/>
    <mergeCell ref="A5369:B5369"/>
    <mergeCell ref="A5370:B5370"/>
    <mergeCell ref="A5371:B5371"/>
    <mergeCell ref="A5372:B5372"/>
    <mergeCell ref="A5373:B5373"/>
    <mergeCell ref="A5374:B5374"/>
    <mergeCell ref="A5375:B5375"/>
    <mergeCell ref="A5376:B5376"/>
    <mergeCell ref="A5359:B5359"/>
    <mergeCell ref="A5360:B5360"/>
    <mergeCell ref="A5361:B5361"/>
    <mergeCell ref="A5362:B5362"/>
    <mergeCell ref="A5363:B5363"/>
    <mergeCell ref="A5364:B5364"/>
    <mergeCell ref="A5365:B5365"/>
    <mergeCell ref="A5366:B5366"/>
    <mergeCell ref="A5367:B5367"/>
    <mergeCell ref="A5350:B5350"/>
    <mergeCell ref="A5351:B5351"/>
    <mergeCell ref="A5352:B5352"/>
    <mergeCell ref="A5353:B5353"/>
    <mergeCell ref="A5354:B5354"/>
    <mergeCell ref="A5355:B5355"/>
    <mergeCell ref="A5356:B5356"/>
    <mergeCell ref="A5357:B5357"/>
    <mergeCell ref="A5358:B5358"/>
    <mergeCell ref="A5413:B5413"/>
    <mergeCell ref="A5414:B5414"/>
    <mergeCell ref="A5415:B5415"/>
    <mergeCell ref="A5416:B5416"/>
    <mergeCell ref="A5417:B5417"/>
    <mergeCell ref="A5418:B5418"/>
    <mergeCell ref="A5419:B5419"/>
    <mergeCell ref="A5420:B5420"/>
    <mergeCell ref="A5421:B5421"/>
    <mergeCell ref="A5404:B5404"/>
    <mergeCell ref="A5405:B5405"/>
    <mergeCell ref="A5406:B5406"/>
    <mergeCell ref="A5407:B5407"/>
    <mergeCell ref="A5408:B5408"/>
    <mergeCell ref="A5409:B5409"/>
    <mergeCell ref="A5410:B5410"/>
    <mergeCell ref="A5411:B5411"/>
    <mergeCell ref="A5412:B5412"/>
    <mergeCell ref="A5395:B5395"/>
    <mergeCell ref="A5396:B5396"/>
    <mergeCell ref="A5397:B5397"/>
    <mergeCell ref="A5398:B5398"/>
    <mergeCell ref="A5399:B5399"/>
    <mergeCell ref="A5400:B5400"/>
    <mergeCell ref="A5401:B5401"/>
    <mergeCell ref="A5402:B5402"/>
    <mergeCell ref="A5403:B5403"/>
    <mergeCell ref="A5386:B5386"/>
    <mergeCell ref="A5387:B5387"/>
    <mergeCell ref="A5388:B5388"/>
    <mergeCell ref="A5389:B5389"/>
    <mergeCell ref="A5390:B5390"/>
    <mergeCell ref="A5391:B5391"/>
    <mergeCell ref="A5392:B5392"/>
    <mergeCell ref="A5393:B5393"/>
    <mergeCell ref="A5394:B5394"/>
    <mergeCell ref="A5449:B5449"/>
    <mergeCell ref="A5450:B5450"/>
    <mergeCell ref="A5451:B5451"/>
    <mergeCell ref="A5452:B5452"/>
    <mergeCell ref="A5453:B5453"/>
    <mergeCell ref="A5454:B5454"/>
    <mergeCell ref="A5455:B5455"/>
    <mergeCell ref="A5456:B5456"/>
    <mergeCell ref="A5457:B5457"/>
    <mergeCell ref="A5440:B5440"/>
    <mergeCell ref="A5441:B5441"/>
    <mergeCell ref="A5442:B5442"/>
    <mergeCell ref="A5443:B5443"/>
    <mergeCell ref="A5444:B5444"/>
    <mergeCell ref="A5445:B5445"/>
    <mergeCell ref="A5446:B5446"/>
    <mergeCell ref="A5447:B5447"/>
    <mergeCell ref="A5448:B5448"/>
    <mergeCell ref="A5431:B5431"/>
    <mergeCell ref="A5432:B5432"/>
    <mergeCell ref="A5433:B5433"/>
    <mergeCell ref="A5434:B5434"/>
    <mergeCell ref="A5435:B5435"/>
    <mergeCell ref="A5436:B5436"/>
    <mergeCell ref="A5437:B5437"/>
    <mergeCell ref="A5438:B5438"/>
    <mergeCell ref="A5439:B5439"/>
    <mergeCell ref="A5422:B5422"/>
    <mergeCell ref="A5423:B5423"/>
    <mergeCell ref="A5424:B5424"/>
    <mergeCell ref="A5425:B5425"/>
    <mergeCell ref="A5426:B5426"/>
    <mergeCell ref="A5427:B5427"/>
    <mergeCell ref="A5428:B5428"/>
    <mergeCell ref="A5429:B5429"/>
    <mergeCell ref="A5430:B5430"/>
    <mergeCell ref="A5485:B5485"/>
    <mergeCell ref="A5486:B5486"/>
    <mergeCell ref="A5487:B5487"/>
    <mergeCell ref="A5488:B5488"/>
    <mergeCell ref="A5489:B5489"/>
    <mergeCell ref="A5490:B5490"/>
    <mergeCell ref="A5491:B5491"/>
    <mergeCell ref="A5492:B5492"/>
    <mergeCell ref="A5493:B5493"/>
    <mergeCell ref="A5476:B5476"/>
    <mergeCell ref="A5477:B5477"/>
    <mergeCell ref="A5478:B5478"/>
    <mergeCell ref="A5479:B5479"/>
    <mergeCell ref="A5480:B5480"/>
    <mergeCell ref="A5481:B5481"/>
    <mergeCell ref="A5482:B5482"/>
    <mergeCell ref="A5483:B5483"/>
    <mergeCell ref="A5484:B5484"/>
    <mergeCell ref="A5467:B5467"/>
    <mergeCell ref="A5468:B5468"/>
    <mergeCell ref="A5469:B5469"/>
    <mergeCell ref="A5470:B5470"/>
    <mergeCell ref="A5471:B5471"/>
    <mergeCell ref="A5472:B5472"/>
    <mergeCell ref="A5473:B5473"/>
    <mergeCell ref="A5474:B5474"/>
    <mergeCell ref="A5475:B5475"/>
    <mergeCell ref="A5458:B5458"/>
    <mergeCell ref="A5459:B5459"/>
    <mergeCell ref="A5460:B5460"/>
    <mergeCell ref="A5461:B5461"/>
    <mergeCell ref="A5462:B5462"/>
    <mergeCell ref="A5463:B5463"/>
    <mergeCell ref="A5464:B5464"/>
    <mergeCell ref="A5465:B5465"/>
    <mergeCell ref="A5466:B5466"/>
    <mergeCell ref="A5521:B5521"/>
    <mergeCell ref="A5522:B5522"/>
    <mergeCell ref="A5523:B5523"/>
    <mergeCell ref="A5524:B5524"/>
    <mergeCell ref="A5525:B5525"/>
    <mergeCell ref="A5526:B5526"/>
    <mergeCell ref="A5527:B5527"/>
    <mergeCell ref="A5528:B5528"/>
    <mergeCell ref="A5529:B5529"/>
    <mergeCell ref="A5512:B5512"/>
    <mergeCell ref="A5513:B5513"/>
    <mergeCell ref="A5514:B5514"/>
    <mergeCell ref="A5515:B5515"/>
    <mergeCell ref="A5516:B5516"/>
    <mergeCell ref="A5517:B5517"/>
    <mergeCell ref="A5518:B5518"/>
    <mergeCell ref="A5519:B5519"/>
    <mergeCell ref="A5520:B5520"/>
    <mergeCell ref="A5503:B5503"/>
    <mergeCell ref="A5504:B5504"/>
    <mergeCell ref="A5505:B5505"/>
    <mergeCell ref="A5506:B5506"/>
    <mergeCell ref="A5507:B5507"/>
    <mergeCell ref="A5508:B5508"/>
    <mergeCell ref="A5509:B5509"/>
    <mergeCell ref="A5510:B5510"/>
    <mergeCell ref="A5511:B5511"/>
    <mergeCell ref="A5494:B5494"/>
    <mergeCell ref="A5495:B5495"/>
    <mergeCell ref="A5496:B5496"/>
    <mergeCell ref="A5497:B5497"/>
    <mergeCell ref="A5498:B5498"/>
    <mergeCell ref="A5499:B5499"/>
    <mergeCell ref="A5500:B5500"/>
    <mergeCell ref="A5501:B5501"/>
    <mergeCell ref="A5502:B5502"/>
    <mergeCell ref="A5557:B5557"/>
    <mergeCell ref="A5558:B5558"/>
    <mergeCell ref="A5559:B5559"/>
    <mergeCell ref="A5560:B5560"/>
    <mergeCell ref="A5561:B5561"/>
    <mergeCell ref="A5562:B5562"/>
    <mergeCell ref="A5563:B5563"/>
    <mergeCell ref="A5564:B5564"/>
    <mergeCell ref="A5565:B5565"/>
    <mergeCell ref="A5548:B5548"/>
    <mergeCell ref="A5549:B5549"/>
    <mergeCell ref="A5550:B5550"/>
    <mergeCell ref="A5551:B5551"/>
    <mergeCell ref="A5552:B5552"/>
    <mergeCell ref="A5553:B5553"/>
    <mergeCell ref="A5554:B5554"/>
    <mergeCell ref="A5555:B5555"/>
    <mergeCell ref="A5556:B5556"/>
    <mergeCell ref="A5539:B5539"/>
    <mergeCell ref="A5540:B5540"/>
    <mergeCell ref="A5541:B5541"/>
    <mergeCell ref="A5542:B5542"/>
    <mergeCell ref="A5543:B5543"/>
    <mergeCell ref="A5544:B5544"/>
    <mergeCell ref="A5545:B5545"/>
    <mergeCell ref="A5546:B5546"/>
    <mergeCell ref="A5547:B5547"/>
    <mergeCell ref="A5530:B5530"/>
    <mergeCell ref="A5531:B5531"/>
    <mergeCell ref="A5532:B5532"/>
    <mergeCell ref="A5533:B5533"/>
    <mergeCell ref="A5534:B5534"/>
    <mergeCell ref="A5535:B5535"/>
    <mergeCell ref="A5536:B5536"/>
    <mergeCell ref="A5537:B5537"/>
    <mergeCell ref="A5538:B5538"/>
    <mergeCell ref="A5593:B5593"/>
    <mergeCell ref="A5594:B5594"/>
    <mergeCell ref="A5595:B5595"/>
    <mergeCell ref="A5596:B5596"/>
    <mergeCell ref="A5597:B5597"/>
    <mergeCell ref="A5598:B5598"/>
    <mergeCell ref="A5599:B5599"/>
    <mergeCell ref="A5600:B5600"/>
    <mergeCell ref="A5601:B5601"/>
    <mergeCell ref="A5584:B5584"/>
    <mergeCell ref="A5585:B5585"/>
    <mergeCell ref="A5586:B5586"/>
    <mergeCell ref="A5587:B5587"/>
    <mergeCell ref="A5588:B5588"/>
    <mergeCell ref="A5589:B5589"/>
    <mergeCell ref="A5590:B5590"/>
    <mergeCell ref="A5591:B5591"/>
    <mergeCell ref="A5592:B5592"/>
    <mergeCell ref="A5575:B5575"/>
    <mergeCell ref="A5576:B5576"/>
    <mergeCell ref="A5577:B5577"/>
    <mergeCell ref="A5578:B5578"/>
    <mergeCell ref="A5579:B5579"/>
    <mergeCell ref="A5580:B5580"/>
    <mergeCell ref="A5581:B5581"/>
    <mergeCell ref="A5582:B5582"/>
    <mergeCell ref="A5583:B5583"/>
    <mergeCell ref="A5566:B5566"/>
    <mergeCell ref="A5567:B5567"/>
    <mergeCell ref="A5568:B5568"/>
    <mergeCell ref="A5569:B5569"/>
    <mergeCell ref="A5570:B5570"/>
    <mergeCell ref="A5571:B5571"/>
    <mergeCell ref="A5572:B5572"/>
    <mergeCell ref="A5573:B5573"/>
    <mergeCell ref="A5574:B5574"/>
    <mergeCell ref="A5629:B5629"/>
    <mergeCell ref="A5630:B5630"/>
    <mergeCell ref="A5631:B5631"/>
    <mergeCell ref="A5632:B5632"/>
    <mergeCell ref="A5633:B5633"/>
    <mergeCell ref="A5634:B5634"/>
    <mergeCell ref="A5635:B5635"/>
    <mergeCell ref="A5636:B5636"/>
    <mergeCell ref="A5637:B5637"/>
    <mergeCell ref="A5620:B5620"/>
    <mergeCell ref="A5621:B5621"/>
    <mergeCell ref="A5622:B5622"/>
    <mergeCell ref="A5623:B5623"/>
    <mergeCell ref="A5624:B5624"/>
    <mergeCell ref="A5625:B5625"/>
    <mergeCell ref="A5626:B5626"/>
    <mergeCell ref="A5627:B5627"/>
    <mergeCell ref="A5628:B5628"/>
    <mergeCell ref="A5611:B5611"/>
    <mergeCell ref="A5612:B5612"/>
    <mergeCell ref="A5613:B5613"/>
    <mergeCell ref="A5614:B5614"/>
    <mergeCell ref="A5615:B5615"/>
    <mergeCell ref="A5616:B5616"/>
    <mergeCell ref="A5617:B5617"/>
    <mergeCell ref="A5618:B5618"/>
    <mergeCell ref="A5619:B5619"/>
    <mergeCell ref="A5602:B5602"/>
    <mergeCell ref="A5603:B5603"/>
    <mergeCell ref="A5604:B5604"/>
    <mergeCell ref="A5605:B5605"/>
    <mergeCell ref="A5606:B5606"/>
    <mergeCell ref="A5607:B5607"/>
    <mergeCell ref="A5608:B5608"/>
    <mergeCell ref="A5609:B5609"/>
    <mergeCell ref="A5610:B5610"/>
    <mergeCell ref="A5665:B5665"/>
    <mergeCell ref="A5666:B5666"/>
    <mergeCell ref="A5667:B5667"/>
    <mergeCell ref="A5668:B5668"/>
    <mergeCell ref="A5669:B5669"/>
    <mergeCell ref="A5670:B5670"/>
    <mergeCell ref="A5671:B5671"/>
    <mergeCell ref="A5672:B5672"/>
    <mergeCell ref="A5673:B5673"/>
    <mergeCell ref="A5656:B5656"/>
    <mergeCell ref="A5657:B5657"/>
    <mergeCell ref="A5658:B5658"/>
    <mergeCell ref="A5659:B5659"/>
    <mergeCell ref="A5660:B5660"/>
    <mergeCell ref="A5661:B5661"/>
    <mergeCell ref="A5662:B5662"/>
    <mergeCell ref="A5663:B5663"/>
    <mergeCell ref="A5664:B5664"/>
    <mergeCell ref="A5647:B5647"/>
    <mergeCell ref="A5648:B5648"/>
    <mergeCell ref="A5649:B5649"/>
    <mergeCell ref="A5650:B5650"/>
    <mergeCell ref="A5651:B5651"/>
    <mergeCell ref="A5652:B5652"/>
    <mergeCell ref="A5653:B5653"/>
    <mergeCell ref="A5654:B5654"/>
    <mergeCell ref="A5655:B5655"/>
    <mergeCell ref="A5638:B5638"/>
    <mergeCell ref="A5639:B5639"/>
    <mergeCell ref="A5640:B5640"/>
    <mergeCell ref="A5641:B5641"/>
    <mergeCell ref="A5642:B5642"/>
    <mergeCell ref="A5643:B5643"/>
    <mergeCell ref="A5644:B5644"/>
    <mergeCell ref="A5645:B5645"/>
    <mergeCell ref="A5646:B5646"/>
    <mergeCell ref="A5701:B5701"/>
    <mergeCell ref="A5702:B5702"/>
    <mergeCell ref="A5703:B5703"/>
    <mergeCell ref="A5704:B5704"/>
    <mergeCell ref="A5705:B5705"/>
    <mergeCell ref="A5706:B5706"/>
    <mergeCell ref="A5707:B5707"/>
    <mergeCell ref="A5708:B5708"/>
    <mergeCell ref="A5709:B5709"/>
    <mergeCell ref="A5692:B5692"/>
    <mergeCell ref="A5693:B5693"/>
    <mergeCell ref="A5694:B5694"/>
    <mergeCell ref="A5695:B5695"/>
    <mergeCell ref="A5696:B5696"/>
    <mergeCell ref="A5697:B5697"/>
    <mergeCell ref="A5698:B5698"/>
    <mergeCell ref="A5699:B5699"/>
    <mergeCell ref="A5700:B5700"/>
    <mergeCell ref="A5683:B5683"/>
    <mergeCell ref="A5684:B5684"/>
    <mergeCell ref="A5685:B5685"/>
    <mergeCell ref="A5686:B5686"/>
    <mergeCell ref="A5687:B5687"/>
    <mergeCell ref="A5688:B5688"/>
    <mergeCell ref="A5689:B5689"/>
    <mergeCell ref="A5690:B5690"/>
    <mergeCell ref="A5691:B5691"/>
    <mergeCell ref="A5674:B5674"/>
    <mergeCell ref="A5675:B5675"/>
    <mergeCell ref="A5676:B5676"/>
    <mergeCell ref="A5677:B5677"/>
    <mergeCell ref="A5678:B5678"/>
    <mergeCell ref="A5679:B5679"/>
    <mergeCell ref="A5680:B5680"/>
    <mergeCell ref="A5681:B5681"/>
    <mergeCell ref="A5682:B5682"/>
    <mergeCell ref="A5737:B5737"/>
    <mergeCell ref="A5738:B5738"/>
    <mergeCell ref="A5739:B5739"/>
    <mergeCell ref="A5740:B5740"/>
    <mergeCell ref="A5741:B5741"/>
    <mergeCell ref="A5742:B5742"/>
    <mergeCell ref="A5743:B5743"/>
    <mergeCell ref="A5744:B5744"/>
    <mergeCell ref="A5745:B5745"/>
    <mergeCell ref="A5728:B5728"/>
    <mergeCell ref="A5729:B5729"/>
    <mergeCell ref="A5730:B5730"/>
    <mergeCell ref="A5731:B5731"/>
    <mergeCell ref="A5732:B5732"/>
    <mergeCell ref="A5733:B5733"/>
    <mergeCell ref="A5734:B5734"/>
    <mergeCell ref="A5735:B5735"/>
    <mergeCell ref="A5736:B5736"/>
    <mergeCell ref="A5719:B5719"/>
    <mergeCell ref="A5720:B5720"/>
    <mergeCell ref="A5721:B5721"/>
    <mergeCell ref="A5722:B5722"/>
    <mergeCell ref="A5723:B5723"/>
    <mergeCell ref="A5724:B5724"/>
    <mergeCell ref="A5725:B5725"/>
    <mergeCell ref="A5726:B5726"/>
    <mergeCell ref="A5727:B5727"/>
    <mergeCell ref="A5710:B5710"/>
    <mergeCell ref="A5711:B5711"/>
    <mergeCell ref="A5712:B5712"/>
    <mergeCell ref="A5713:B5713"/>
    <mergeCell ref="A5714:B5714"/>
    <mergeCell ref="A5715:B5715"/>
    <mergeCell ref="A5716:B5716"/>
    <mergeCell ref="A5717:B5717"/>
    <mergeCell ref="A5718:B5718"/>
    <mergeCell ref="A5773:B5773"/>
    <mergeCell ref="A5774:B5774"/>
    <mergeCell ref="A5775:B5775"/>
    <mergeCell ref="A5776:B5776"/>
    <mergeCell ref="A5777:B5777"/>
    <mergeCell ref="A5778:B5778"/>
    <mergeCell ref="A5779:B5779"/>
    <mergeCell ref="A5780:B5780"/>
    <mergeCell ref="A5781:B5781"/>
    <mergeCell ref="A5764:B5764"/>
    <mergeCell ref="A5765:B5765"/>
    <mergeCell ref="A5766:B5766"/>
    <mergeCell ref="A5767:B5767"/>
    <mergeCell ref="A5768:B5768"/>
    <mergeCell ref="A5769:B5769"/>
    <mergeCell ref="A5770:B5770"/>
    <mergeCell ref="A5771:B5771"/>
    <mergeCell ref="A5772:B5772"/>
    <mergeCell ref="A5755:B5755"/>
    <mergeCell ref="A5756:B5756"/>
    <mergeCell ref="A5757:B5757"/>
    <mergeCell ref="A5758:B5758"/>
    <mergeCell ref="A5759:B5759"/>
    <mergeCell ref="A5760:B5760"/>
    <mergeCell ref="A5761:B5761"/>
    <mergeCell ref="A5762:B5762"/>
    <mergeCell ref="A5763:B5763"/>
    <mergeCell ref="A5746:B5746"/>
    <mergeCell ref="A5747:B5747"/>
    <mergeCell ref="A5748:B5748"/>
    <mergeCell ref="A5749:B5749"/>
    <mergeCell ref="A5750:B5750"/>
    <mergeCell ref="A5751:B5751"/>
    <mergeCell ref="A5752:B5752"/>
    <mergeCell ref="A5753:B5753"/>
    <mergeCell ref="A5754:B5754"/>
    <mergeCell ref="A5809:B5809"/>
    <mergeCell ref="A5810:B5810"/>
    <mergeCell ref="A5811:B5811"/>
    <mergeCell ref="A5812:B5812"/>
    <mergeCell ref="A5813:B5813"/>
    <mergeCell ref="A5814:B5814"/>
    <mergeCell ref="A5815:B5815"/>
    <mergeCell ref="A5816:B5816"/>
    <mergeCell ref="A5817:B5817"/>
    <mergeCell ref="A5800:B5800"/>
    <mergeCell ref="A5801:B5801"/>
    <mergeCell ref="A5802:B5802"/>
    <mergeCell ref="A5803:B5803"/>
    <mergeCell ref="A5804:B5804"/>
    <mergeCell ref="A5805:B5805"/>
    <mergeCell ref="A5806:B5806"/>
    <mergeCell ref="A5807:B5807"/>
    <mergeCell ref="A5808:B5808"/>
    <mergeCell ref="A5791:B5791"/>
    <mergeCell ref="A5792:B5792"/>
    <mergeCell ref="A5793:B5793"/>
    <mergeCell ref="A5794:B5794"/>
    <mergeCell ref="A5795:B5795"/>
    <mergeCell ref="A5796:B5796"/>
    <mergeCell ref="A5797:B5797"/>
    <mergeCell ref="A5798:B5798"/>
    <mergeCell ref="A5799:B5799"/>
    <mergeCell ref="A5782:B5782"/>
    <mergeCell ref="A5783:B5783"/>
    <mergeCell ref="A5784:B5784"/>
    <mergeCell ref="A5785:B5785"/>
    <mergeCell ref="A5786:B5786"/>
    <mergeCell ref="A5787:B5787"/>
    <mergeCell ref="A5788:B5788"/>
    <mergeCell ref="A5789:B5789"/>
    <mergeCell ref="A5790:B5790"/>
    <mergeCell ref="A5845:B5845"/>
    <mergeCell ref="A5846:B5846"/>
    <mergeCell ref="A5847:B5847"/>
    <mergeCell ref="A5848:B5848"/>
    <mergeCell ref="A5849:B5849"/>
    <mergeCell ref="A5850:B5850"/>
    <mergeCell ref="A5851:B5851"/>
    <mergeCell ref="A5852:B5852"/>
    <mergeCell ref="A5853:B5853"/>
    <mergeCell ref="A5836:B5836"/>
    <mergeCell ref="A5837:B5837"/>
    <mergeCell ref="A5838:B5838"/>
    <mergeCell ref="A5839:B5839"/>
    <mergeCell ref="A5840:B5840"/>
    <mergeCell ref="A5841:B5841"/>
    <mergeCell ref="A5842:B5842"/>
    <mergeCell ref="A5843:B5843"/>
    <mergeCell ref="A5844:B5844"/>
    <mergeCell ref="A5827:B5827"/>
    <mergeCell ref="A5828:B5828"/>
    <mergeCell ref="A5829:B5829"/>
    <mergeCell ref="A5830:B5830"/>
    <mergeCell ref="A5831:B5831"/>
    <mergeCell ref="A5832:B5832"/>
    <mergeCell ref="A5833:B5833"/>
    <mergeCell ref="A5834:B5834"/>
    <mergeCell ref="A5835:B5835"/>
    <mergeCell ref="A5818:B5818"/>
    <mergeCell ref="A5819:B5819"/>
    <mergeCell ref="A5820:B5820"/>
    <mergeCell ref="A5821:B5821"/>
    <mergeCell ref="A5822:B5822"/>
    <mergeCell ref="A5823:B5823"/>
    <mergeCell ref="A5824:B5824"/>
    <mergeCell ref="A5825:B5825"/>
    <mergeCell ref="A5826:B5826"/>
    <mergeCell ref="A5881:B5881"/>
    <mergeCell ref="A5882:B5882"/>
    <mergeCell ref="A5883:B5883"/>
    <mergeCell ref="A5884:B5884"/>
    <mergeCell ref="A5885:B5885"/>
    <mergeCell ref="A5886:B5886"/>
    <mergeCell ref="A5887:B5887"/>
    <mergeCell ref="A5888:B5888"/>
    <mergeCell ref="A5889:B5889"/>
    <mergeCell ref="A5872:B5872"/>
    <mergeCell ref="A5873:B5873"/>
    <mergeCell ref="A5874:B5874"/>
    <mergeCell ref="A5875:B5875"/>
    <mergeCell ref="A5876:B5876"/>
    <mergeCell ref="A5877:B5877"/>
    <mergeCell ref="A5878:B5878"/>
    <mergeCell ref="A5879:B5879"/>
    <mergeCell ref="A5880:B5880"/>
    <mergeCell ref="A5863:B5863"/>
    <mergeCell ref="A5864:B5864"/>
    <mergeCell ref="A5865:B5865"/>
    <mergeCell ref="A5866:B5866"/>
    <mergeCell ref="A5867:B5867"/>
    <mergeCell ref="A5868:B5868"/>
    <mergeCell ref="A5869:B5869"/>
    <mergeCell ref="A5870:B5870"/>
    <mergeCell ref="A5871:B5871"/>
    <mergeCell ref="A5854:B5854"/>
    <mergeCell ref="A5855:B5855"/>
    <mergeCell ref="A5856:B5856"/>
    <mergeCell ref="A5857:B5857"/>
    <mergeCell ref="A5858:B5858"/>
    <mergeCell ref="A5859:B5859"/>
    <mergeCell ref="A5860:B5860"/>
    <mergeCell ref="A5861:B5861"/>
    <mergeCell ref="A5862:B5862"/>
    <mergeCell ref="A5917:B5917"/>
    <mergeCell ref="A5918:B5918"/>
    <mergeCell ref="A5919:B5919"/>
    <mergeCell ref="A5920:B5920"/>
    <mergeCell ref="A5921:B5921"/>
    <mergeCell ref="A5922:B5922"/>
    <mergeCell ref="A5923:B5923"/>
    <mergeCell ref="A5924:B5924"/>
    <mergeCell ref="A5925:B5925"/>
    <mergeCell ref="A5908:B5908"/>
    <mergeCell ref="A5909:B5909"/>
    <mergeCell ref="A5910:B5910"/>
    <mergeCell ref="A5911:B5911"/>
    <mergeCell ref="A5912:B5912"/>
    <mergeCell ref="A5913:B5913"/>
    <mergeCell ref="A5914:B5914"/>
    <mergeCell ref="A5915:B5915"/>
    <mergeCell ref="A5916:B5916"/>
    <mergeCell ref="A5899:B5899"/>
    <mergeCell ref="A5900:B5900"/>
    <mergeCell ref="A5901:B5901"/>
    <mergeCell ref="A5902:B5902"/>
    <mergeCell ref="A5903:B5903"/>
    <mergeCell ref="A5904:B5904"/>
    <mergeCell ref="A5905:B5905"/>
    <mergeCell ref="A5906:B5906"/>
    <mergeCell ref="A5907:B5907"/>
    <mergeCell ref="A5890:B5890"/>
    <mergeCell ref="A5891:B5891"/>
    <mergeCell ref="A5892:B5892"/>
    <mergeCell ref="A5893:B5893"/>
    <mergeCell ref="A5894:B5894"/>
    <mergeCell ref="A5895:B5895"/>
    <mergeCell ref="A5896:B5896"/>
    <mergeCell ref="A5897:B5897"/>
    <mergeCell ref="A5898:B5898"/>
    <mergeCell ref="A5953:B5953"/>
    <mergeCell ref="A5954:B5954"/>
    <mergeCell ref="A5955:B5955"/>
    <mergeCell ref="A5956:B5956"/>
    <mergeCell ref="A5957:B5957"/>
    <mergeCell ref="A5958:B5958"/>
    <mergeCell ref="A5959:B5959"/>
    <mergeCell ref="A5960:B5960"/>
    <mergeCell ref="A5961:B5961"/>
    <mergeCell ref="A5944:B5944"/>
    <mergeCell ref="A5945:B5945"/>
    <mergeCell ref="A5946:B5946"/>
    <mergeCell ref="A5947:B5947"/>
    <mergeCell ref="A5948:B5948"/>
    <mergeCell ref="A5949:B5949"/>
    <mergeCell ref="A5950:B5950"/>
    <mergeCell ref="A5951:B5951"/>
    <mergeCell ref="A5952:B5952"/>
    <mergeCell ref="A5935:B5935"/>
    <mergeCell ref="A5936:B5936"/>
    <mergeCell ref="A5937:B5937"/>
    <mergeCell ref="A5938:B5938"/>
    <mergeCell ref="A5939:B5939"/>
    <mergeCell ref="A5940:B5940"/>
    <mergeCell ref="A5941:B5941"/>
    <mergeCell ref="A5942:B5942"/>
    <mergeCell ref="A5943:B5943"/>
    <mergeCell ref="A5926:B5926"/>
    <mergeCell ref="A5927:B5927"/>
    <mergeCell ref="A5928:B5928"/>
    <mergeCell ref="A5929:B5929"/>
    <mergeCell ref="A5930:B5930"/>
    <mergeCell ref="A5931:B5931"/>
    <mergeCell ref="A5932:B5932"/>
    <mergeCell ref="A5933:B5933"/>
    <mergeCell ref="A5934:B5934"/>
    <mergeCell ref="A6002:B6002"/>
    <mergeCell ref="A6003:B6003"/>
    <mergeCell ref="A6004:B6004"/>
    <mergeCell ref="A6005:B6005"/>
    <mergeCell ref="A6006:B6006"/>
    <mergeCell ref="A5989:B5989"/>
    <mergeCell ref="A5990:B5990"/>
    <mergeCell ref="A5991:B5991"/>
    <mergeCell ref="A5992:B5992"/>
    <mergeCell ref="A5993:B5993"/>
    <mergeCell ref="A5994:B5994"/>
    <mergeCell ref="A5995:B5995"/>
    <mergeCell ref="A5996:B5996"/>
    <mergeCell ref="A5997:B5997"/>
    <mergeCell ref="A5980:B5980"/>
    <mergeCell ref="A5981:B5981"/>
    <mergeCell ref="A5982:B5982"/>
    <mergeCell ref="A5983:B5983"/>
    <mergeCell ref="A5984:B5984"/>
    <mergeCell ref="A5985:B5985"/>
    <mergeCell ref="A5986:B5986"/>
    <mergeCell ref="A5987:B5987"/>
    <mergeCell ref="A5988:B5988"/>
    <mergeCell ref="A5971:B5971"/>
    <mergeCell ref="A5972:B5972"/>
    <mergeCell ref="A5973:B5973"/>
    <mergeCell ref="A5974:B5974"/>
    <mergeCell ref="A5975:B5975"/>
    <mergeCell ref="A5976:B5976"/>
    <mergeCell ref="A5977:B5977"/>
    <mergeCell ref="A5978:B5978"/>
    <mergeCell ref="A5979:B5979"/>
    <mergeCell ref="A5962:B5962"/>
    <mergeCell ref="A5963:B5963"/>
    <mergeCell ref="A5964:B5964"/>
    <mergeCell ref="A5965:B5965"/>
    <mergeCell ref="A5966:B5966"/>
    <mergeCell ref="A5967:B5967"/>
    <mergeCell ref="A5968:B5968"/>
    <mergeCell ref="A5969:B5969"/>
    <mergeCell ref="A5970:B5970"/>
    <mergeCell ref="A4266:B4266"/>
    <mergeCell ref="A4267:B4267"/>
    <mergeCell ref="A4268:B4268"/>
    <mergeCell ref="A4269:B4269"/>
    <mergeCell ref="A4270:B4270"/>
    <mergeCell ref="A4271:B4271"/>
    <mergeCell ref="A4272:B4272"/>
    <mergeCell ref="A4273:B4273"/>
    <mergeCell ref="A4274:B4274"/>
    <mergeCell ref="A4257:B4257"/>
    <mergeCell ref="A4258:B4258"/>
    <mergeCell ref="A4259:B4259"/>
    <mergeCell ref="A4260:B4260"/>
    <mergeCell ref="A4261:B4261"/>
    <mergeCell ref="A4262:B4262"/>
    <mergeCell ref="A4263:B4263"/>
    <mergeCell ref="A4264:B4264"/>
    <mergeCell ref="A4265:B4265"/>
    <mergeCell ref="A6025:B6025"/>
    <mergeCell ref="A6026:B6026"/>
    <mergeCell ref="A6027:B6027"/>
    <mergeCell ref="A6028:B6028"/>
    <mergeCell ref="A4237:B4237"/>
    <mergeCell ref="A4238:B4238"/>
    <mergeCell ref="A4239:B4239"/>
    <mergeCell ref="A4240:B4240"/>
    <mergeCell ref="A4241:B4241"/>
    <mergeCell ref="A4242:B4242"/>
    <mergeCell ref="A4243:B4243"/>
    <mergeCell ref="A4244:B4244"/>
    <mergeCell ref="A4245:B4245"/>
    <mergeCell ref="A4246:B4246"/>
    <mergeCell ref="A4247:B4247"/>
    <mergeCell ref="A4248:B4248"/>
    <mergeCell ref="A4249:B4249"/>
    <mergeCell ref="A4250:B4250"/>
    <mergeCell ref="A4251:B4251"/>
    <mergeCell ref="A4252:B4252"/>
    <mergeCell ref="A4253:B4253"/>
    <mergeCell ref="A4254:B4254"/>
    <mergeCell ref="A4255:B4255"/>
    <mergeCell ref="A4256:B4256"/>
    <mergeCell ref="A6016:B6016"/>
    <mergeCell ref="A6017:B6017"/>
    <mergeCell ref="A6018:B6018"/>
    <mergeCell ref="A6019:B6019"/>
    <mergeCell ref="A6020:B6020"/>
    <mergeCell ref="A6021:B6021"/>
    <mergeCell ref="A6022:B6022"/>
    <mergeCell ref="A6023:B6023"/>
    <mergeCell ref="A6024:B6024"/>
    <mergeCell ref="A6007:B6007"/>
    <mergeCell ref="A6008:B6008"/>
    <mergeCell ref="A6009:B6009"/>
    <mergeCell ref="A6010:B6010"/>
    <mergeCell ref="A6011:B6011"/>
    <mergeCell ref="A6012:B6012"/>
    <mergeCell ref="A6013:B6013"/>
    <mergeCell ref="A6014:B6014"/>
    <mergeCell ref="A6015:B6015"/>
    <mergeCell ref="A5998:B5998"/>
    <mergeCell ref="A5999:B5999"/>
    <mergeCell ref="A6000:B6000"/>
    <mergeCell ref="A6001:B6001"/>
    <mergeCell ref="A4302:B4302"/>
    <mergeCell ref="A4303:B4303"/>
    <mergeCell ref="A4304:B4304"/>
    <mergeCell ref="A4305:B4305"/>
    <mergeCell ref="A4306:B4306"/>
    <mergeCell ref="A4307:B4307"/>
    <mergeCell ref="A4308:B4308"/>
    <mergeCell ref="A4309:B4309"/>
    <mergeCell ref="A4310:B4310"/>
    <mergeCell ref="A4293:B4293"/>
    <mergeCell ref="A4294:B4294"/>
    <mergeCell ref="A4295:B4295"/>
    <mergeCell ref="A4296:B4296"/>
    <mergeCell ref="A4297:B4297"/>
    <mergeCell ref="A4298:B4298"/>
    <mergeCell ref="A4299:B4299"/>
    <mergeCell ref="A4300:B4300"/>
    <mergeCell ref="A4301:B4301"/>
    <mergeCell ref="A4284:B4284"/>
    <mergeCell ref="A4285:B4285"/>
    <mergeCell ref="A4286:B4286"/>
    <mergeCell ref="A4287:B4287"/>
    <mergeCell ref="A4288:B4288"/>
    <mergeCell ref="A4289:B4289"/>
    <mergeCell ref="A4290:B4290"/>
    <mergeCell ref="A4291:B4291"/>
    <mergeCell ref="A4292:B4292"/>
    <mergeCell ref="A4275:B4275"/>
    <mergeCell ref="A4276:B4276"/>
    <mergeCell ref="A4277:B4277"/>
    <mergeCell ref="A4278:B4278"/>
    <mergeCell ref="A4279:B4279"/>
    <mergeCell ref="A4280:B4280"/>
    <mergeCell ref="A4281:B4281"/>
    <mergeCell ref="A4282:B4282"/>
    <mergeCell ref="A4283:B4283"/>
    <mergeCell ref="A4338:B4338"/>
    <mergeCell ref="A4339:B4339"/>
    <mergeCell ref="A4340:B4340"/>
    <mergeCell ref="A4341:B4341"/>
    <mergeCell ref="A4342:B4342"/>
    <mergeCell ref="A4343:B4343"/>
    <mergeCell ref="A4344:B4344"/>
    <mergeCell ref="A4345:B4345"/>
    <mergeCell ref="A4346:B4346"/>
    <mergeCell ref="A4329:B4329"/>
    <mergeCell ref="A4330:B4330"/>
    <mergeCell ref="A4331:B4331"/>
    <mergeCell ref="A4332:B4332"/>
    <mergeCell ref="A4333:B4333"/>
    <mergeCell ref="A4334:B4334"/>
    <mergeCell ref="A4335:B4335"/>
    <mergeCell ref="A4336:B4336"/>
    <mergeCell ref="A4337:B4337"/>
    <mergeCell ref="A4320:B4320"/>
    <mergeCell ref="A4321:B4321"/>
    <mergeCell ref="A4322:B4322"/>
    <mergeCell ref="A4323:B4323"/>
    <mergeCell ref="A4324:B4324"/>
    <mergeCell ref="A4325:B4325"/>
    <mergeCell ref="A4326:B4326"/>
    <mergeCell ref="A4327:B4327"/>
    <mergeCell ref="A4328:B4328"/>
    <mergeCell ref="A4311:B4311"/>
    <mergeCell ref="A4312:B4312"/>
    <mergeCell ref="A4313:B4313"/>
    <mergeCell ref="A4314:B4314"/>
    <mergeCell ref="A4315:B4315"/>
    <mergeCell ref="A4316:B4316"/>
    <mergeCell ref="A4317:B4317"/>
    <mergeCell ref="A4318:B4318"/>
    <mergeCell ref="A4319:B4319"/>
    <mergeCell ref="A4374:B4374"/>
    <mergeCell ref="A4375:B4375"/>
    <mergeCell ref="A4376:B4376"/>
    <mergeCell ref="A4377:B4377"/>
    <mergeCell ref="A4378:B4378"/>
    <mergeCell ref="A4379:B4379"/>
    <mergeCell ref="A4380:B4380"/>
    <mergeCell ref="A4381:B4381"/>
    <mergeCell ref="A4382:B4382"/>
    <mergeCell ref="A4365:B4365"/>
    <mergeCell ref="A4366:B4366"/>
    <mergeCell ref="A4367:B4367"/>
    <mergeCell ref="A4368:B4368"/>
    <mergeCell ref="A4369:B4369"/>
    <mergeCell ref="A4370:B4370"/>
    <mergeCell ref="A4371:B4371"/>
    <mergeCell ref="A4372:B4372"/>
    <mergeCell ref="A4373:B4373"/>
    <mergeCell ref="A4356:B4356"/>
    <mergeCell ref="A4357:B4357"/>
    <mergeCell ref="A4358:B4358"/>
    <mergeCell ref="A4359:B4359"/>
    <mergeCell ref="A4360:B4360"/>
    <mergeCell ref="A4361:B4361"/>
    <mergeCell ref="A4362:B4362"/>
    <mergeCell ref="A4363:B4363"/>
    <mergeCell ref="A4364:B4364"/>
    <mergeCell ref="A4347:B4347"/>
    <mergeCell ref="A4348:B4348"/>
    <mergeCell ref="A4349:B4349"/>
    <mergeCell ref="A4350:B4350"/>
    <mergeCell ref="A4351:B4351"/>
    <mergeCell ref="A4352:B4352"/>
    <mergeCell ref="A4353:B4353"/>
    <mergeCell ref="A4354:B4354"/>
    <mergeCell ref="A4355:B4355"/>
    <mergeCell ref="A4410:B4410"/>
    <mergeCell ref="A4411:B4411"/>
    <mergeCell ref="A4412:B4412"/>
    <mergeCell ref="A4413:B4413"/>
    <mergeCell ref="A4414:B4414"/>
    <mergeCell ref="A4415:B4415"/>
    <mergeCell ref="A4416:B4416"/>
    <mergeCell ref="A4417:B4417"/>
    <mergeCell ref="A4418:B4418"/>
    <mergeCell ref="A4401:B4401"/>
    <mergeCell ref="A4402:B4402"/>
    <mergeCell ref="A4403:B4403"/>
    <mergeCell ref="A4404:B4404"/>
    <mergeCell ref="A4405:B4405"/>
    <mergeCell ref="A4406:B4406"/>
    <mergeCell ref="A4407:B4407"/>
    <mergeCell ref="A4408:B4408"/>
    <mergeCell ref="A4409:B4409"/>
    <mergeCell ref="A4392:B4392"/>
    <mergeCell ref="A4393:B4393"/>
    <mergeCell ref="A4394:B4394"/>
    <mergeCell ref="A4395:B4395"/>
    <mergeCell ref="A4396:B4396"/>
    <mergeCell ref="A4397:B4397"/>
    <mergeCell ref="A4398:B4398"/>
    <mergeCell ref="A4399:B4399"/>
    <mergeCell ref="A4400:B4400"/>
    <mergeCell ref="A4383:B4383"/>
    <mergeCell ref="A4384:B4384"/>
    <mergeCell ref="A4385:B4385"/>
    <mergeCell ref="A4386:B4386"/>
    <mergeCell ref="A4387:B4387"/>
    <mergeCell ref="A4388:B4388"/>
    <mergeCell ref="A4389:B4389"/>
    <mergeCell ref="A4390:B4390"/>
    <mergeCell ref="A4391:B4391"/>
    <mergeCell ref="A4446:B4446"/>
    <mergeCell ref="A4447:B4447"/>
    <mergeCell ref="A4448:B4448"/>
    <mergeCell ref="A4449:B4449"/>
    <mergeCell ref="A4450:B4450"/>
    <mergeCell ref="A4451:B4451"/>
    <mergeCell ref="A4452:B4452"/>
    <mergeCell ref="A4453:B4453"/>
    <mergeCell ref="A4454:B4454"/>
    <mergeCell ref="A4437:B4437"/>
    <mergeCell ref="A4438:B4438"/>
    <mergeCell ref="A4439:B4439"/>
    <mergeCell ref="A4440:B4440"/>
    <mergeCell ref="A4441:B4441"/>
    <mergeCell ref="A4442:B4442"/>
    <mergeCell ref="A4443:B4443"/>
    <mergeCell ref="A4444:B4444"/>
    <mergeCell ref="A4445:B4445"/>
    <mergeCell ref="A4428:B4428"/>
    <mergeCell ref="A4429:B4429"/>
    <mergeCell ref="A4430:B4430"/>
    <mergeCell ref="A4431:B4431"/>
    <mergeCell ref="A4432:B4432"/>
    <mergeCell ref="A4433:B4433"/>
    <mergeCell ref="A4434:B4434"/>
    <mergeCell ref="A4435:B4435"/>
    <mergeCell ref="A4436:B4436"/>
    <mergeCell ref="A4419:B4419"/>
    <mergeCell ref="A4420:B4420"/>
    <mergeCell ref="A4421:B4421"/>
    <mergeCell ref="A4422:B4422"/>
    <mergeCell ref="A4423:B4423"/>
    <mergeCell ref="A4424:B4424"/>
    <mergeCell ref="A4425:B4425"/>
    <mergeCell ref="A4426:B4426"/>
    <mergeCell ref="A4427:B4427"/>
    <mergeCell ref="A4482:B4482"/>
    <mergeCell ref="A4483:B4483"/>
    <mergeCell ref="A4484:B4484"/>
    <mergeCell ref="A4485:B4485"/>
    <mergeCell ref="A4486:B4486"/>
    <mergeCell ref="A4487:B4487"/>
    <mergeCell ref="A4488:B4488"/>
    <mergeCell ref="A4489:B4489"/>
    <mergeCell ref="A4490:B4490"/>
    <mergeCell ref="A4473:B4473"/>
    <mergeCell ref="A4474:B4474"/>
    <mergeCell ref="A4475:B4475"/>
    <mergeCell ref="A4476:B4476"/>
    <mergeCell ref="A4477:B4477"/>
    <mergeCell ref="A4478:B4478"/>
    <mergeCell ref="A4479:B4479"/>
    <mergeCell ref="A4480:B4480"/>
    <mergeCell ref="A4481:B4481"/>
    <mergeCell ref="A4464:B4464"/>
    <mergeCell ref="A4465:B4465"/>
    <mergeCell ref="A4466:B4466"/>
    <mergeCell ref="A4467:B4467"/>
    <mergeCell ref="A4468:B4468"/>
    <mergeCell ref="A4469:B4469"/>
    <mergeCell ref="A4470:B4470"/>
    <mergeCell ref="A4471:B4471"/>
    <mergeCell ref="A4472:B4472"/>
    <mergeCell ref="A4455:B4455"/>
    <mergeCell ref="A4456:B4456"/>
    <mergeCell ref="A4457:B4457"/>
    <mergeCell ref="A4458:B4458"/>
    <mergeCell ref="A4459:B4459"/>
    <mergeCell ref="A4460:B4460"/>
    <mergeCell ref="A4461:B4461"/>
    <mergeCell ref="A4462:B4462"/>
    <mergeCell ref="A4463:B4463"/>
    <mergeCell ref="A4518:B4518"/>
    <mergeCell ref="A4519:B4519"/>
    <mergeCell ref="A4520:B4520"/>
    <mergeCell ref="A4521:B4521"/>
    <mergeCell ref="A4522:B4522"/>
    <mergeCell ref="A4523:B4523"/>
    <mergeCell ref="A4524:B4524"/>
    <mergeCell ref="A4525:B4525"/>
    <mergeCell ref="A4526:B4526"/>
    <mergeCell ref="A4509:B4509"/>
    <mergeCell ref="A4510:B4510"/>
    <mergeCell ref="A4511:B4511"/>
    <mergeCell ref="A4512:B4512"/>
    <mergeCell ref="A4513:B4513"/>
    <mergeCell ref="A4514:B4514"/>
    <mergeCell ref="A4515:B4515"/>
    <mergeCell ref="A4516:B4516"/>
    <mergeCell ref="A4517:B4517"/>
    <mergeCell ref="A4500:B4500"/>
    <mergeCell ref="A4501:B4501"/>
    <mergeCell ref="A4502:B4502"/>
    <mergeCell ref="A4503:B4503"/>
    <mergeCell ref="A4504:B4504"/>
    <mergeCell ref="A4505:B4505"/>
    <mergeCell ref="A4506:B4506"/>
    <mergeCell ref="A4507:B4507"/>
    <mergeCell ref="A4508:B4508"/>
    <mergeCell ref="A4491:B4491"/>
    <mergeCell ref="A4492:B4492"/>
    <mergeCell ref="A4493:B4493"/>
    <mergeCell ref="A4494:B4494"/>
    <mergeCell ref="A4495:B4495"/>
    <mergeCell ref="A4496:B4496"/>
    <mergeCell ref="A4497:B4497"/>
    <mergeCell ref="A4498:B4498"/>
    <mergeCell ref="A4499:B4499"/>
    <mergeCell ref="A4554:B4554"/>
    <mergeCell ref="A4555:B4555"/>
    <mergeCell ref="A4556:B4556"/>
    <mergeCell ref="A4557:B4557"/>
    <mergeCell ref="A4558:B4558"/>
    <mergeCell ref="A4559:B4559"/>
    <mergeCell ref="A4560:B4560"/>
    <mergeCell ref="A4561:B4561"/>
    <mergeCell ref="A4562:B4562"/>
    <mergeCell ref="A4545:B4545"/>
    <mergeCell ref="A4546:B4546"/>
    <mergeCell ref="A4547:B4547"/>
    <mergeCell ref="A4548:B4548"/>
    <mergeCell ref="A4549:B4549"/>
    <mergeCell ref="A4550:B4550"/>
    <mergeCell ref="A4551:B4551"/>
    <mergeCell ref="A4552:B4552"/>
    <mergeCell ref="A4553:B4553"/>
    <mergeCell ref="A4536:B4536"/>
    <mergeCell ref="A4537:B4537"/>
    <mergeCell ref="A4538:B4538"/>
    <mergeCell ref="A4539:B4539"/>
    <mergeCell ref="A4540:B4540"/>
    <mergeCell ref="A4541:B4541"/>
    <mergeCell ref="A4542:B4542"/>
    <mergeCell ref="A4543:B4543"/>
    <mergeCell ref="A4544:B4544"/>
    <mergeCell ref="A4527:B4527"/>
    <mergeCell ref="A4528:B4528"/>
    <mergeCell ref="A4529:B4529"/>
    <mergeCell ref="A4530:B4530"/>
    <mergeCell ref="A4531:B4531"/>
    <mergeCell ref="A4532:B4532"/>
    <mergeCell ref="A4533:B4533"/>
    <mergeCell ref="A4534:B4534"/>
    <mergeCell ref="A4535:B4535"/>
    <mergeCell ref="A4590:B4590"/>
    <mergeCell ref="A4591:B4591"/>
    <mergeCell ref="A4592:B4592"/>
    <mergeCell ref="A4593:B4593"/>
    <mergeCell ref="A4594:B4594"/>
    <mergeCell ref="A4595:B4595"/>
    <mergeCell ref="A4596:B4596"/>
    <mergeCell ref="A4597:B4597"/>
    <mergeCell ref="A4598:B4598"/>
    <mergeCell ref="A4581:B4581"/>
    <mergeCell ref="A4582:B4582"/>
    <mergeCell ref="A4583:B4583"/>
    <mergeCell ref="A4584:B4584"/>
    <mergeCell ref="A4585:B4585"/>
    <mergeCell ref="A4586:B4586"/>
    <mergeCell ref="A4587:B4587"/>
    <mergeCell ref="A4588:B4588"/>
    <mergeCell ref="A4589:B4589"/>
    <mergeCell ref="A4572:B4572"/>
    <mergeCell ref="A4573:B4573"/>
    <mergeCell ref="A4574:B4574"/>
    <mergeCell ref="A4575:B4575"/>
    <mergeCell ref="A4576:B4576"/>
    <mergeCell ref="A4577:B4577"/>
    <mergeCell ref="A4578:B4578"/>
    <mergeCell ref="A4579:B4579"/>
    <mergeCell ref="A4580:B4580"/>
    <mergeCell ref="A4563:B4563"/>
    <mergeCell ref="A4564:B4564"/>
    <mergeCell ref="A4565:B4565"/>
    <mergeCell ref="A4566:B4566"/>
    <mergeCell ref="A4567:B4567"/>
    <mergeCell ref="A4568:B4568"/>
    <mergeCell ref="A4569:B4569"/>
    <mergeCell ref="A4570:B4570"/>
    <mergeCell ref="A4571:B4571"/>
    <mergeCell ref="A4626:B4626"/>
    <mergeCell ref="A4627:B4627"/>
    <mergeCell ref="A4628:B4628"/>
    <mergeCell ref="A4629:B4629"/>
    <mergeCell ref="A4630:B4630"/>
    <mergeCell ref="A4631:B4631"/>
    <mergeCell ref="A4632:B4632"/>
    <mergeCell ref="A4633:B4633"/>
    <mergeCell ref="A4634:B4634"/>
    <mergeCell ref="A4617:B4617"/>
    <mergeCell ref="A4618:B4618"/>
    <mergeCell ref="A4619:B4619"/>
    <mergeCell ref="A4620:B4620"/>
    <mergeCell ref="A4621:B4621"/>
    <mergeCell ref="A4622:B4622"/>
    <mergeCell ref="A4623:B4623"/>
    <mergeCell ref="A4624:B4624"/>
    <mergeCell ref="A4625:B4625"/>
    <mergeCell ref="A4608:B4608"/>
    <mergeCell ref="A4609:B4609"/>
    <mergeCell ref="A4610:B4610"/>
    <mergeCell ref="A4611:B4611"/>
    <mergeCell ref="A4612:B4612"/>
    <mergeCell ref="A4613:B4613"/>
    <mergeCell ref="A4614:B4614"/>
    <mergeCell ref="A4615:B4615"/>
    <mergeCell ref="A4616:B4616"/>
    <mergeCell ref="A4599:B4599"/>
    <mergeCell ref="A4600:B4600"/>
    <mergeCell ref="A4601:B4601"/>
    <mergeCell ref="A4602:B4602"/>
    <mergeCell ref="A4603:B4603"/>
    <mergeCell ref="A4604:B4604"/>
    <mergeCell ref="A4605:B4605"/>
    <mergeCell ref="A4606:B4606"/>
    <mergeCell ref="A4607:B4607"/>
    <mergeCell ref="A4662:B4662"/>
    <mergeCell ref="A4663:B4663"/>
    <mergeCell ref="A4664:B4664"/>
    <mergeCell ref="A4665:B4665"/>
    <mergeCell ref="A4666:B4666"/>
    <mergeCell ref="A4667:B4667"/>
    <mergeCell ref="A4668:B4668"/>
    <mergeCell ref="A4669:B4669"/>
    <mergeCell ref="A4670:B4670"/>
    <mergeCell ref="A4653:B4653"/>
    <mergeCell ref="A4654:B4654"/>
    <mergeCell ref="A4655:B4655"/>
    <mergeCell ref="A4656:B4656"/>
    <mergeCell ref="A4657:B4657"/>
    <mergeCell ref="A4658:B4658"/>
    <mergeCell ref="A4659:B4659"/>
    <mergeCell ref="A4660:B4660"/>
    <mergeCell ref="A4661:B4661"/>
    <mergeCell ref="A4644:B4644"/>
    <mergeCell ref="A4645:B4645"/>
    <mergeCell ref="A4646:B4646"/>
    <mergeCell ref="A4647:B4647"/>
    <mergeCell ref="A4648:B4648"/>
    <mergeCell ref="A4649:B4649"/>
    <mergeCell ref="A4650:B4650"/>
    <mergeCell ref="A4651:B4651"/>
    <mergeCell ref="A4652:B4652"/>
    <mergeCell ref="A4635:B4635"/>
    <mergeCell ref="A4636:B4636"/>
    <mergeCell ref="A4637:B4637"/>
    <mergeCell ref="A4638:B4638"/>
    <mergeCell ref="A4639:B4639"/>
    <mergeCell ref="A4640:B4640"/>
    <mergeCell ref="A4641:B4641"/>
    <mergeCell ref="A4642:B4642"/>
    <mergeCell ref="A4643:B4643"/>
    <mergeCell ref="A4698:B4698"/>
    <mergeCell ref="A4699:B4699"/>
    <mergeCell ref="A4700:B4700"/>
    <mergeCell ref="A4701:B4701"/>
    <mergeCell ref="A4702:B4702"/>
    <mergeCell ref="A4703:B4703"/>
    <mergeCell ref="A4704:B4704"/>
    <mergeCell ref="A4705:B4705"/>
    <mergeCell ref="A4706:B4706"/>
    <mergeCell ref="A4689:B4689"/>
    <mergeCell ref="A4690:B4690"/>
    <mergeCell ref="A4691:B4691"/>
    <mergeCell ref="A4692:B4692"/>
    <mergeCell ref="A4693:B4693"/>
    <mergeCell ref="A4694:B4694"/>
    <mergeCell ref="A4695:B4695"/>
    <mergeCell ref="A4696:B4696"/>
    <mergeCell ref="A4697:B4697"/>
    <mergeCell ref="A4680:B4680"/>
    <mergeCell ref="A4681:B4681"/>
    <mergeCell ref="A4682:B4682"/>
    <mergeCell ref="A4683:B4683"/>
    <mergeCell ref="A4684:B4684"/>
    <mergeCell ref="A4685:B4685"/>
    <mergeCell ref="A4686:B4686"/>
    <mergeCell ref="A4687:B4687"/>
    <mergeCell ref="A4688:B4688"/>
    <mergeCell ref="A4671:B4671"/>
    <mergeCell ref="A4672:B4672"/>
    <mergeCell ref="A4673:B4673"/>
    <mergeCell ref="A4674:B4674"/>
    <mergeCell ref="A4675:B4675"/>
    <mergeCell ref="A4676:B4676"/>
    <mergeCell ref="A4677:B4677"/>
    <mergeCell ref="A4678:B4678"/>
    <mergeCell ref="A4679:B4679"/>
    <mergeCell ref="A4734:B4734"/>
    <mergeCell ref="A4735:B4735"/>
    <mergeCell ref="A4736:B4736"/>
    <mergeCell ref="A4737:B4737"/>
    <mergeCell ref="A4738:B4738"/>
    <mergeCell ref="A4739:B4739"/>
    <mergeCell ref="A4740:B4740"/>
    <mergeCell ref="A4741:B4741"/>
    <mergeCell ref="A4742:B4742"/>
    <mergeCell ref="A4725:B4725"/>
    <mergeCell ref="A4726:B4726"/>
    <mergeCell ref="A4727:B4727"/>
    <mergeCell ref="A4728:B4728"/>
    <mergeCell ref="A4729:B4729"/>
    <mergeCell ref="A4730:B4730"/>
    <mergeCell ref="A4731:B4731"/>
    <mergeCell ref="A4732:B4732"/>
    <mergeCell ref="A4733:B4733"/>
    <mergeCell ref="A4716:B4716"/>
    <mergeCell ref="A4717:B4717"/>
    <mergeCell ref="A4718:B4718"/>
    <mergeCell ref="A4719:B4719"/>
    <mergeCell ref="A4720:B4720"/>
    <mergeCell ref="A4721:B4721"/>
    <mergeCell ref="A4722:B4722"/>
    <mergeCell ref="A4723:B4723"/>
    <mergeCell ref="A4724:B4724"/>
    <mergeCell ref="A4707:B4707"/>
    <mergeCell ref="A4708:B4708"/>
    <mergeCell ref="A4709:B4709"/>
    <mergeCell ref="A4710:B4710"/>
    <mergeCell ref="A4711:B4711"/>
    <mergeCell ref="A4712:B4712"/>
    <mergeCell ref="A4713:B4713"/>
    <mergeCell ref="A4714:B4714"/>
    <mergeCell ref="A4715:B4715"/>
    <mergeCell ref="A4770:B4770"/>
    <mergeCell ref="A4771:B4771"/>
    <mergeCell ref="A4772:B4772"/>
    <mergeCell ref="A4773:B4773"/>
    <mergeCell ref="A4774:B4774"/>
    <mergeCell ref="A4775:B4775"/>
    <mergeCell ref="A4776:B4776"/>
    <mergeCell ref="A4777:B4777"/>
    <mergeCell ref="A4778:B4778"/>
    <mergeCell ref="A4761:B4761"/>
    <mergeCell ref="A4762:B4762"/>
    <mergeCell ref="A4763:B4763"/>
    <mergeCell ref="A4764:B4764"/>
    <mergeCell ref="A4765:B4765"/>
    <mergeCell ref="A4766:B4766"/>
    <mergeCell ref="A4767:B4767"/>
    <mergeCell ref="A4768:B4768"/>
    <mergeCell ref="A4769:B4769"/>
    <mergeCell ref="A4752:B4752"/>
    <mergeCell ref="A4753:B4753"/>
    <mergeCell ref="A4754:B4754"/>
    <mergeCell ref="A4755:B4755"/>
    <mergeCell ref="A4756:B4756"/>
    <mergeCell ref="A4757:B4757"/>
    <mergeCell ref="A4758:B4758"/>
    <mergeCell ref="A4759:B4759"/>
    <mergeCell ref="A4760:B4760"/>
    <mergeCell ref="A4743:B4743"/>
    <mergeCell ref="A4744:B4744"/>
    <mergeCell ref="A4745:B4745"/>
    <mergeCell ref="A4746:B4746"/>
    <mergeCell ref="A4747:B4747"/>
    <mergeCell ref="A4748:B4748"/>
    <mergeCell ref="A4749:B4749"/>
    <mergeCell ref="A4750:B4750"/>
    <mergeCell ref="A4751:B4751"/>
    <mergeCell ref="A4806:B4806"/>
    <mergeCell ref="A4807:B4807"/>
    <mergeCell ref="A4808:B4808"/>
    <mergeCell ref="A4809:B4809"/>
    <mergeCell ref="A4810:B4810"/>
    <mergeCell ref="A4811:B4811"/>
    <mergeCell ref="A4812:B4812"/>
    <mergeCell ref="A4813:B4813"/>
    <mergeCell ref="A4814:B4814"/>
    <mergeCell ref="A4797:B4797"/>
    <mergeCell ref="A4798:B4798"/>
    <mergeCell ref="A4799:B4799"/>
    <mergeCell ref="A4800:B4800"/>
    <mergeCell ref="A4801:B4801"/>
    <mergeCell ref="A4802:B4802"/>
    <mergeCell ref="A4803:B4803"/>
    <mergeCell ref="A4804:B4804"/>
    <mergeCell ref="A4805:B4805"/>
    <mergeCell ref="A4788:B4788"/>
    <mergeCell ref="A4789:B4789"/>
    <mergeCell ref="A4790:B4790"/>
    <mergeCell ref="A4791:B4791"/>
    <mergeCell ref="A4792:B4792"/>
    <mergeCell ref="A4793:B4793"/>
    <mergeCell ref="A4794:B4794"/>
    <mergeCell ref="A4795:B4795"/>
    <mergeCell ref="A4796:B4796"/>
    <mergeCell ref="A4779:B4779"/>
    <mergeCell ref="A4780:B4780"/>
    <mergeCell ref="A4781:B4781"/>
    <mergeCell ref="A4782:B4782"/>
    <mergeCell ref="A4783:B4783"/>
    <mergeCell ref="A4784:B4784"/>
    <mergeCell ref="A4785:B4785"/>
    <mergeCell ref="A4786:B4786"/>
    <mergeCell ref="A4787:B4787"/>
    <mergeCell ref="A4842:B4842"/>
    <mergeCell ref="A4843:B4843"/>
    <mergeCell ref="A4844:B4844"/>
    <mergeCell ref="A4845:B4845"/>
    <mergeCell ref="A4846:B4846"/>
    <mergeCell ref="A4847:B4847"/>
    <mergeCell ref="A4848:B4848"/>
    <mergeCell ref="A4849:B4849"/>
    <mergeCell ref="A4850:B4850"/>
    <mergeCell ref="A4833:B4833"/>
    <mergeCell ref="A4834:B4834"/>
    <mergeCell ref="A4835:B4835"/>
    <mergeCell ref="A4836:B4836"/>
    <mergeCell ref="A4837:B4837"/>
    <mergeCell ref="A4838:B4838"/>
    <mergeCell ref="A4839:B4839"/>
    <mergeCell ref="A4840:B4840"/>
    <mergeCell ref="A4841:B4841"/>
    <mergeCell ref="A4824:B4824"/>
    <mergeCell ref="A4825:B4825"/>
    <mergeCell ref="A4826:B4826"/>
    <mergeCell ref="A4827:B4827"/>
    <mergeCell ref="A4828:B4828"/>
    <mergeCell ref="A4829:B4829"/>
    <mergeCell ref="A4830:B4830"/>
    <mergeCell ref="A4831:B4831"/>
    <mergeCell ref="A4832:B4832"/>
    <mergeCell ref="A4815:B4815"/>
    <mergeCell ref="A4816:B4816"/>
    <mergeCell ref="A4817:B4817"/>
    <mergeCell ref="A4818:B4818"/>
    <mergeCell ref="A4819:B4819"/>
    <mergeCell ref="A4820:B4820"/>
    <mergeCell ref="A4821:B4821"/>
    <mergeCell ref="A4822:B4822"/>
    <mergeCell ref="A4823:B4823"/>
    <mergeCell ref="A4878:B4878"/>
    <mergeCell ref="A4879:B4879"/>
    <mergeCell ref="A4880:B4880"/>
    <mergeCell ref="A4881:B4881"/>
    <mergeCell ref="A4882:B4882"/>
    <mergeCell ref="A4883:B4883"/>
    <mergeCell ref="A4884:B4884"/>
    <mergeCell ref="A4885:B4885"/>
    <mergeCell ref="A4886:B4886"/>
    <mergeCell ref="A4869:B4869"/>
    <mergeCell ref="A4870:B4870"/>
    <mergeCell ref="A4871:B4871"/>
    <mergeCell ref="A4872:B4872"/>
    <mergeCell ref="A4873:B4873"/>
    <mergeCell ref="A4874:B4874"/>
    <mergeCell ref="A4875:B4875"/>
    <mergeCell ref="A4876:B4876"/>
    <mergeCell ref="A4877:B4877"/>
    <mergeCell ref="A4860:B4860"/>
    <mergeCell ref="A4861:B4861"/>
    <mergeCell ref="A4862:B4862"/>
    <mergeCell ref="A4863:B4863"/>
    <mergeCell ref="A4864:B4864"/>
    <mergeCell ref="A4865:B4865"/>
    <mergeCell ref="A4866:B4866"/>
    <mergeCell ref="A4867:B4867"/>
    <mergeCell ref="A4868:B4868"/>
    <mergeCell ref="A4851:B4851"/>
    <mergeCell ref="A4852:B4852"/>
    <mergeCell ref="A4853:B4853"/>
    <mergeCell ref="A4854:B4854"/>
    <mergeCell ref="A4855:B4855"/>
    <mergeCell ref="A4856:B4856"/>
    <mergeCell ref="A4857:B4857"/>
    <mergeCell ref="A4858:B4858"/>
    <mergeCell ref="A4859:B4859"/>
    <mergeCell ref="A4914:B4914"/>
    <mergeCell ref="A4915:B4915"/>
    <mergeCell ref="A4916:B4916"/>
    <mergeCell ref="A4917:B4917"/>
    <mergeCell ref="A4918:B4918"/>
    <mergeCell ref="A4919:B4919"/>
    <mergeCell ref="A4920:B4920"/>
    <mergeCell ref="A4921:B4921"/>
    <mergeCell ref="A4922:B4922"/>
    <mergeCell ref="A4905:B4905"/>
    <mergeCell ref="A4906:B4906"/>
    <mergeCell ref="A4907:B4907"/>
    <mergeCell ref="A4908:B4908"/>
    <mergeCell ref="A4909:B4909"/>
    <mergeCell ref="A4910:B4910"/>
    <mergeCell ref="A4911:B4911"/>
    <mergeCell ref="A4912:B4912"/>
    <mergeCell ref="A4913:B4913"/>
    <mergeCell ref="A4896:B4896"/>
    <mergeCell ref="A4897:B4897"/>
    <mergeCell ref="A4898:B4898"/>
    <mergeCell ref="A4899:B4899"/>
    <mergeCell ref="A4900:B4900"/>
    <mergeCell ref="A4901:B4901"/>
    <mergeCell ref="A4902:B4902"/>
    <mergeCell ref="A4903:B4903"/>
    <mergeCell ref="A4904:B4904"/>
    <mergeCell ref="A4887:B4887"/>
    <mergeCell ref="A4888:B4888"/>
    <mergeCell ref="A4889:B4889"/>
    <mergeCell ref="A4890:B4890"/>
    <mergeCell ref="A4891:B4891"/>
    <mergeCell ref="A4892:B4892"/>
    <mergeCell ref="A4893:B4893"/>
    <mergeCell ref="A4894:B4894"/>
    <mergeCell ref="A4895:B4895"/>
    <mergeCell ref="A4950:B4950"/>
    <mergeCell ref="A4951:B4951"/>
    <mergeCell ref="A4952:B4952"/>
    <mergeCell ref="A4953:B4953"/>
    <mergeCell ref="A4954:B4954"/>
    <mergeCell ref="A4955:B4955"/>
    <mergeCell ref="A4956:B4956"/>
    <mergeCell ref="A4957:B4957"/>
    <mergeCell ref="A4958:B4958"/>
    <mergeCell ref="A4941:B4941"/>
    <mergeCell ref="A4942:B4942"/>
    <mergeCell ref="A4943:B4943"/>
    <mergeCell ref="A4944:B4944"/>
    <mergeCell ref="A4945:B4945"/>
    <mergeCell ref="A4946:B4946"/>
    <mergeCell ref="A4947:B4947"/>
    <mergeCell ref="A4948:B4948"/>
    <mergeCell ref="A4949:B4949"/>
    <mergeCell ref="A4932:B4932"/>
    <mergeCell ref="A4933:B4933"/>
    <mergeCell ref="A4934:B4934"/>
    <mergeCell ref="A4935:B4935"/>
    <mergeCell ref="A4936:B4936"/>
    <mergeCell ref="A4937:B4937"/>
    <mergeCell ref="A4938:B4938"/>
    <mergeCell ref="A4939:B4939"/>
    <mergeCell ref="A4940:B4940"/>
    <mergeCell ref="A4923:B4923"/>
    <mergeCell ref="A4924:B4924"/>
    <mergeCell ref="A4925:B4925"/>
    <mergeCell ref="A4926:B4926"/>
    <mergeCell ref="A4927:B4927"/>
    <mergeCell ref="A4928:B4928"/>
    <mergeCell ref="A4929:B4929"/>
    <mergeCell ref="A4930:B4930"/>
    <mergeCell ref="A4931:B4931"/>
    <mergeCell ref="A4986:B4986"/>
    <mergeCell ref="A4987:B4987"/>
    <mergeCell ref="A4988:B4988"/>
    <mergeCell ref="A4989:B4989"/>
    <mergeCell ref="A4990:B4990"/>
    <mergeCell ref="A4991:B4991"/>
    <mergeCell ref="A4992:B4992"/>
    <mergeCell ref="A4993:B4993"/>
    <mergeCell ref="A4994:B4994"/>
    <mergeCell ref="A4977:B4977"/>
    <mergeCell ref="A4978:B4978"/>
    <mergeCell ref="A4979:B4979"/>
    <mergeCell ref="A4980:B4980"/>
    <mergeCell ref="A4981:B4981"/>
    <mergeCell ref="A4982:B4982"/>
    <mergeCell ref="A4983:B4983"/>
    <mergeCell ref="A4984:B4984"/>
    <mergeCell ref="A4985:B4985"/>
    <mergeCell ref="A4968:B4968"/>
    <mergeCell ref="A4969:B4969"/>
    <mergeCell ref="A4970:B4970"/>
    <mergeCell ref="A4971:B4971"/>
    <mergeCell ref="A4972:B4972"/>
    <mergeCell ref="A4973:B4973"/>
    <mergeCell ref="A4974:B4974"/>
    <mergeCell ref="A4975:B4975"/>
    <mergeCell ref="A4976:B4976"/>
    <mergeCell ref="A4959:B4959"/>
    <mergeCell ref="A4960:B4960"/>
    <mergeCell ref="A4961:B4961"/>
    <mergeCell ref="A4962:B4962"/>
    <mergeCell ref="A4963:B4963"/>
    <mergeCell ref="A4964:B4964"/>
    <mergeCell ref="A4965:B4965"/>
    <mergeCell ref="A4966:B4966"/>
    <mergeCell ref="A4967:B4967"/>
    <mergeCell ref="A5022:B5022"/>
    <mergeCell ref="A5023:B5023"/>
    <mergeCell ref="A5024:B5024"/>
    <mergeCell ref="A5025:B5025"/>
    <mergeCell ref="A5026:B5026"/>
    <mergeCell ref="A5027:B5027"/>
    <mergeCell ref="A5028:B5028"/>
    <mergeCell ref="A5029:B5029"/>
    <mergeCell ref="A5030:B5030"/>
    <mergeCell ref="A5013:B5013"/>
    <mergeCell ref="A5014:B5014"/>
    <mergeCell ref="A5015:B5015"/>
    <mergeCell ref="A5016:B5016"/>
    <mergeCell ref="A5017:B5017"/>
    <mergeCell ref="A5018:B5018"/>
    <mergeCell ref="A5019:B5019"/>
    <mergeCell ref="A5020:B5020"/>
    <mergeCell ref="A5021:B5021"/>
    <mergeCell ref="A5004:B5004"/>
    <mergeCell ref="A5005:B5005"/>
    <mergeCell ref="A5006:B5006"/>
    <mergeCell ref="A5007:B5007"/>
    <mergeCell ref="A5008:B5008"/>
    <mergeCell ref="A5009:B5009"/>
    <mergeCell ref="A5010:B5010"/>
    <mergeCell ref="A5011:B5011"/>
    <mergeCell ref="A5012:B5012"/>
    <mergeCell ref="A4995:B4995"/>
    <mergeCell ref="A4996:B4996"/>
    <mergeCell ref="A4997:B4997"/>
    <mergeCell ref="A4998:B4998"/>
    <mergeCell ref="A4999:B4999"/>
    <mergeCell ref="A5000:B5000"/>
    <mergeCell ref="A5001:B5001"/>
    <mergeCell ref="A5002:B5002"/>
    <mergeCell ref="A5003:B5003"/>
    <mergeCell ref="A5058:B5058"/>
    <mergeCell ref="A5059:B5059"/>
    <mergeCell ref="A5060:B5060"/>
    <mergeCell ref="A5061:B5061"/>
    <mergeCell ref="A5062:B5062"/>
    <mergeCell ref="A5063:B5063"/>
    <mergeCell ref="A5064:B5064"/>
    <mergeCell ref="A5065:B5065"/>
    <mergeCell ref="A5066:B5066"/>
    <mergeCell ref="A5049:B5049"/>
    <mergeCell ref="A5050:B5050"/>
    <mergeCell ref="A5051:B5051"/>
    <mergeCell ref="A5052:B5052"/>
    <mergeCell ref="A5053:B5053"/>
    <mergeCell ref="A5054:B5054"/>
    <mergeCell ref="A5055:B5055"/>
    <mergeCell ref="A5056:B5056"/>
    <mergeCell ref="A5057:B5057"/>
    <mergeCell ref="A5040:B5040"/>
    <mergeCell ref="A5041:B5041"/>
    <mergeCell ref="A5042:B5042"/>
    <mergeCell ref="A5043:B5043"/>
    <mergeCell ref="A5044:B5044"/>
    <mergeCell ref="A5045:B5045"/>
    <mergeCell ref="A5046:B5046"/>
    <mergeCell ref="A5047:B5047"/>
    <mergeCell ref="A5048:B5048"/>
    <mergeCell ref="A5031:B5031"/>
    <mergeCell ref="A5032:B5032"/>
    <mergeCell ref="A5033:B5033"/>
    <mergeCell ref="A5034:B5034"/>
    <mergeCell ref="A5035:B5035"/>
    <mergeCell ref="A5036:B5036"/>
    <mergeCell ref="A5037:B5037"/>
    <mergeCell ref="A5038:B5038"/>
    <mergeCell ref="A5039:B5039"/>
    <mergeCell ref="A5107:B5107"/>
    <mergeCell ref="A5108:B5108"/>
    <mergeCell ref="A5109:B5109"/>
    <mergeCell ref="A5110:B5110"/>
    <mergeCell ref="A5111:B5111"/>
    <mergeCell ref="A5094:B5094"/>
    <mergeCell ref="A5095:B5095"/>
    <mergeCell ref="A5096:B5096"/>
    <mergeCell ref="A5097:B5097"/>
    <mergeCell ref="A5098:B5098"/>
    <mergeCell ref="A5099:B5099"/>
    <mergeCell ref="A5100:B5100"/>
    <mergeCell ref="A5101:B5101"/>
    <mergeCell ref="A5102:B5102"/>
    <mergeCell ref="A5085:B5085"/>
    <mergeCell ref="A5086:B5086"/>
    <mergeCell ref="A5087:B5087"/>
    <mergeCell ref="A5088:B5088"/>
    <mergeCell ref="A5089:B5089"/>
    <mergeCell ref="A5090:B5090"/>
    <mergeCell ref="A5091:B5091"/>
    <mergeCell ref="A5092:B5092"/>
    <mergeCell ref="A5093:B5093"/>
    <mergeCell ref="A5076:B5076"/>
    <mergeCell ref="A5077:B5077"/>
    <mergeCell ref="A5078:B5078"/>
    <mergeCell ref="A5079:B5079"/>
    <mergeCell ref="A5080:B5080"/>
    <mergeCell ref="A5081:B5081"/>
    <mergeCell ref="A5082:B5082"/>
    <mergeCell ref="A5083:B5083"/>
    <mergeCell ref="A5084:B5084"/>
    <mergeCell ref="A5067:B5067"/>
    <mergeCell ref="A5068:B5068"/>
    <mergeCell ref="A5069:B5069"/>
    <mergeCell ref="A5070:B5070"/>
    <mergeCell ref="A5071:B5071"/>
    <mergeCell ref="A5072:B5072"/>
    <mergeCell ref="A5073:B5073"/>
    <mergeCell ref="A5074:B5074"/>
    <mergeCell ref="A5075:B5075"/>
    <mergeCell ref="A3371:B3371"/>
    <mergeCell ref="A3372:B3372"/>
    <mergeCell ref="A3373:B3373"/>
    <mergeCell ref="A3374:B3374"/>
    <mergeCell ref="A3375:B3375"/>
    <mergeCell ref="A3376:B3376"/>
    <mergeCell ref="A3377:B3377"/>
    <mergeCell ref="A3378:B3378"/>
    <mergeCell ref="A3379:B3379"/>
    <mergeCell ref="A3362:B3362"/>
    <mergeCell ref="A3363:B3363"/>
    <mergeCell ref="A3364:B3364"/>
    <mergeCell ref="A3365:B3365"/>
    <mergeCell ref="A3366:B3366"/>
    <mergeCell ref="A3367:B3367"/>
    <mergeCell ref="A3368:B3368"/>
    <mergeCell ref="A3369:B3369"/>
    <mergeCell ref="A3370:B3370"/>
    <mergeCell ref="A5130:B5130"/>
    <mergeCell ref="A5131:B5131"/>
    <mergeCell ref="A5132:B5132"/>
    <mergeCell ref="A3341:B3341"/>
    <mergeCell ref="A3342:B3342"/>
    <mergeCell ref="A3343:B3343"/>
    <mergeCell ref="A3344:B3344"/>
    <mergeCell ref="A3345:B3345"/>
    <mergeCell ref="A3346:B3346"/>
    <mergeCell ref="A3347:B3347"/>
    <mergeCell ref="A3348:B3348"/>
    <mergeCell ref="A3349:B3349"/>
    <mergeCell ref="A3350:B3350"/>
    <mergeCell ref="A3351:B3351"/>
    <mergeCell ref="A3352:B3352"/>
    <mergeCell ref="A3353:B3353"/>
    <mergeCell ref="A3354:B3354"/>
    <mergeCell ref="A3355:B3355"/>
    <mergeCell ref="A3356:B3356"/>
    <mergeCell ref="A3357:B3357"/>
    <mergeCell ref="A3358:B3358"/>
    <mergeCell ref="A3359:B3359"/>
    <mergeCell ref="A3360:B3360"/>
    <mergeCell ref="A3361:B3361"/>
    <mergeCell ref="A5121:B5121"/>
    <mergeCell ref="A5122:B5122"/>
    <mergeCell ref="A5123:B5123"/>
    <mergeCell ref="A5124:B5124"/>
    <mergeCell ref="A5125:B5125"/>
    <mergeCell ref="A5126:B5126"/>
    <mergeCell ref="A5127:B5127"/>
    <mergeCell ref="A5128:B5128"/>
    <mergeCell ref="A5129:B5129"/>
    <mergeCell ref="A5112:B5112"/>
    <mergeCell ref="A5113:B5113"/>
    <mergeCell ref="A5114:B5114"/>
    <mergeCell ref="A5115:B5115"/>
    <mergeCell ref="A5116:B5116"/>
    <mergeCell ref="A5117:B5117"/>
    <mergeCell ref="A5118:B5118"/>
    <mergeCell ref="A5119:B5119"/>
    <mergeCell ref="A5120:B5120"/>
    <mergeCell ref="A5103:B5103"/>
    <mergeCell ref="A5104:B5104"/>
    <mergeCell ref="A5105:B5105"/>
    <mergeCell ref="A5106:B5106"/>
    <mergeCell ref="A3407:B3407"/>
    <mergeCell ref="A3408:B3408"/>
    <mergeCell ref="A3409:B3409"/>
    <mergeCell ref="A3410:B3410"/>
    <mergeCell ref="A3411:B3411"/>
    <mergeCell ref="A3412:B3412"/>
    <mergeCell ref="A3413:B3413"/>
    <mergeCell ref="A3414:B3414"/>
    <mergeCell ref="A3415:B3415"/>
    <mergeCell ref="A3398:B3398"/>
    <mergeCell ref="A3399:B3399"/>
    <mergeCell ref="A3400:B3400"/>
    <mergeCell ref="A3401:B3401"/>
    <mergeCell ref="A3402:B3402"/>
    <mergeCell ref="A3403:B3403"/>
    <mergeCell ref="A3404:B3404"/>
    <mergeCell ref="A3405:B3405"/>
    <mergeCell ref="A3406:B3406"/>
    <mergeCell ref="A3389:B3389"/>
    <mergeCell ref="A3390:B3390"/>
    <mergeCell ref="A3391:B3391"/>
    <mergeCell ref="A3392:B3392"/>
    <mergeCell ref="A3393:B3393"/>
    <mergeCell ref="A3394:B3394"/>
    <mergeCell ref="A3395:B3395"/>
    <mergeCell ref="A3396:B3396"/>
    <mergeCell ref="A3397:B3397"/>
    <mergeCell ref="A3380:B3380"/>
    <mergeCell ref="A3381:B3381"/>
    <mergeCell ref="A3382:B3382"/>
    <mergeCell ref="A3383:B3383"/>
    <mergeCell ref="A3384:B3384"/>
    <mergeCell ref="A3385:B3385"/>
    <mergeCell ref="A3386:B3386"/>
    <mergeCell ref="A3387:B3387"/>
    <mergeCell ref="A3388:B3388"/>
    <mergeCell ref="A3443:B3443"/>
    <mergeCell ref="A3444:B3444"/>
    <mergeCell ref="A3445:B3445"/>
    <mergeCell ref="A3446:B3446"/>
    <mergeCell ref="A3447:B3447"/>
    <mergeCell ref="A3448:B3448"/>
    <mergeCell ref="A3449:B3449"/>
    <mergeCell ref="A3450:B3450"/>
    <mergeCell ref="A3451:B3451"/>
    <mergeCell ref="A3434:B3434"/>
    <mergeCell ref="A3435:B3435"/>
    <mergeCell ref="A3436:B3436"/>
    <mergeCell ref="A3437:B3437"/>
    <mergeCell ref="A3438:B3438"/>
    <mergeCell ref="A3439:B3439"/>
    <mergeCell ref="A3440:B3440"/>
    <mergeCell ref="A3441:B3441"/>
    <mergeCell ref="A3442:B3442"/>
    <mergeCell ref="A3425:B3425"/>
    <mergeCell ref="A3426:B3426"/>
    <mergeCell ref="A3427:B3427"/>
    <mergeCell ref="A3428:B3428"/>
    <mergeCell ref="A3429:B3429"/>
    <mergeCell ref="A3430:B3430"/>
    <mergeCell ref="A3431:B3431"/>
    <mergeCell ref="A3432:B3432"/>
    <mergeCell ref="A3433:B3433"/>
    <mergeCell ref="A3416:B3416"/>
    <mergeCell ref="A3417:B3417"/>
    <mergeCell ref="A3418:B3418"/>
    <mergeCell ref="A3419:B3419"/>
    <mergeCell ref="A3420:B3420"/>
    <mergeCell ref="A3421:B3421"/>
    <mergeCell ref="A3422:B3422"/>
    <mergeCell ref="A3423:B3423"/>
    <mergeCell ref="A3424:B3424"/>
    <mergeCell ref="A3479:B3479"/>
    <mergeCell ref="A3480:B3480"/>
    <mergeCell ref="A3481:B3481"/>
    <mergeCell ref="A3482:B3482"/>
    <mergeCell ref="A3483:B3483"/>
    <mergeCell ref="A3484:B3484"/>
    <mergeCell ref="A3485:B3485"/>
    <mergeCell ref="A3486:B3486"/>
    <mergeCell ref="A3487:B3487"/>
    <mergeCell ref="A3470:B3470"/>
    <mergeCell ref="A3471:B3471"/>
    <mergeCell ref="A3472:B3472"/>
    <mergeCell ref="A3473:B3473"/>
    <mergeCell ref="A3474:B3474"/>
    <mergeCell ref="A3475:B3475"/>
    <mergeCell ref="A3476:B3476"/>
    <mergeCell ref="A3477:B3477"/>
    <mergeCell ref="A3478:B3478"/>
    <mergeCell ref="A3461:B3461"/>
    <mergeCell ref="A3462:B3462"/>
    <mergeCell ref="A3463:B3463"/>
    <mergeCell ref="A3464:B3464"/>
    <mergeCell ref="A3465:B3465"/>
    <mergeCell ref="A3466:B3466"/>
    <mergeCell ref="A3467:B3467"/>
    <mergeCell ref="A3468:B3468"/>
    <mergeCell ref="A3469:B3469"/>
    <mergeCell ref="A3452:B3452"/>
    <mergeCell ref="A3453:B3453"/>
    <mergeCell ref="A3454:B3454"/>
    <mergeCell ref="A3455:B3455"/>
    <mergeCell ref="A3456:B3456"/>
    <mergeCell ref="A3457:B3457"/>
    <mergeCell ref="A3458:B3458"/>
    <mergeCell ref="A3459:B3459"/>
    <mergeCell ref="A3460:B3460"/>
    <mergeCell ref="A3515:B3515"/>
    <mergeCell ref="A3516:B3516"/>
    <mergeCell ref="A3517:B3517"/>
    <mergeCell ref="A3518:B3518"/>
    <mergeCell ref="A3519:B3519"/>
    <mergeCell ref="A3520:B3520"/>
    <mergeCell ref="A3521:B3521"/>
    <mergeCell ref="A3522:B3522"/>
    <mergeCell ref="A3523:B3523"/>
    <mergeCell ref="A3506:B3506"/>
    <mergeCell ref="A3507:B3507"/>
    <mergeCell ref="A3508:B3508"/>
    <mergeCell ref="A3509:B3509"/>
    <mergeCell ref="A3510:B3510"/>
    <mergeCell ref="A3511:B3511"/>
    <mergeCell ref="A3512:B3512"/>
    <mergeCell ref="A3513:B3513"/>
    <mergeCell ref="A3514:B3514"/>
    <mergeCell ref="A3497:B3497"/>
    <mergeCell ref="A3498:B3498"/>
    <mergeCell ref="A3499:B3499"/>
    <mergeCell ref="A3500:B3500"/>
    <mergeCell ref="A3501:B3501"/>
    <mergeCell ref="A3502:B3502"/>
    <mergeCell ref="A3503:B3503"/>
    <mergeCell ref="A3504:B3504"/>
    <mergeCell ref="A3505:B3505"/>
    <mergeCell ref="A3488:B3488"/>
    <mergeCell ref="A3489:B3489"/>
    <mergeCell ref="A3490:B3490"/>
    <mergeCell ref="A3491:B3491"/>
    <mergeCell ref="A3492:B3492"/>
    <mergeCell ref="A3493:B3493"/>
    <mergeCell ref="A3494:B3494"/>
    <mergeCell ref="A3495:B3495"/>
    <mergeCell ref="A3496:B3496"/>
    <mergeCell ref="A3551:B3551"/>
    <mergeCell ref="A3552:B3552"/>
    <mergeCell ref="A3553:B3553"/>
    <mergeCell ref="A3554:B3554"/>
    <mergeCell ref="A3555:B3555"/>
    <mergeCell ref="A3556:B3556"/>
    <mergeCell ref="A3557:B3557"/>
    <mergeCell ref="A3558:B3558"/>
    <mergeCell ref="A3559:B3559"/>
    <mergeCell ref="A3542:B3542"/>
    <mergeCell ref="A3543:B3543"/>
    <mergeCell ref="A3544:B3544"/>
    <mergeCell ref="A3545:B3545"/>
    <mergeCell ref="A3546:B3546"/>
    <mergeCell ref="A3547:B3547"/>
    <mergeCell ref="A3548:B3548"/>
    <mergeCell ref="A3549:B3549"/>
    <mergeCell ref="A3550:B3550"/>
    <mergeCell ref="A3533:B3533"/>
    <mergeCell ref="A3534:B3534"/>
    <mergeCell ref="A3535:B3535"/>
    <mergeCell ref="A3536:B3536"/>
    <mergeCell ref="A3537:B3537"/>
    <mergeCell ref="A3538:B3538"/>
    <mergeCell ref="A3539:B3539"/>
    <mergeCell ref="A3540:B3540"/>
    <mergeCell ref="A3541:B3541"/>
    <mergeCell ref="A3524:B3524"/>
    <mergeCell ref="A3525:B3525"/>
    <mergeCell ref="A3526:B3526"/>
    <mergeCell ref="A3527:B3527"/>
    <mergeCell ref="A3528:B3528"/>
    <mergeCell ref="A3529:B3529"/>
    <mergeCell ref="A3530:B3530"/>
    <mergeCell ref="A3531:B3531"/>
    <mergeCell ref="A3532:B3532"/>
    <mergeCell ref="A3587:B3587"/>
    <mergeCell ref="A3588:B3588"/>
    <mergeCell ref="A3589:B3589"/>
    <mergeCell ref="A3590:B3590"/>
    <mergeCell ref="A3591:B3591"/>
    <mergeCell ref="A3592:B3592"/>
    <mergeCell ref="A3593:B3593"/>
    <mergeCell ref="A3594:B3594"/>
    <mergeCell ref="A3595:B3595"/>
    <mergeCell ref="A3578:B3578"/>
    <mergeCell ref="A3579:B3579"/>
    <mergeCell ref="A3580:B3580"/>
    <mergeCell ref="A3581:B3581"/>
    <mergeCell ref="A3582:B3582"/>
    <mergeCell ref="A3583:B3583"/>
    <mergeCell ref="A3584:B3584"/>
    <mergeCell ref="A3585:B3585"/>
    <mergeCell ref="A3586:B3586"/>
    <mergeCell ref="A3569:B3569"/>
    <mergeCell ref="A3570:B3570"/>
    <mergeCell ref="A3571:B3571"/>
    <mergeCell ref="A3572:B3572"/>
    <mergeCell ref="A3573:B3573"/>
    <mergeCell ref="A3574:B3574"/>
    <mergeCell ref="A3575:B3575"/>
    <mergeCell ref="A3576:B3576"/>
    <mergeCell ref="A3577:B3577"/>
    <mergeCell ref="A3560:B3560"/>
    <mergeCell ref="A3561:B3561"/>
    <mergeCell ref="A3562:B3562"/>
    <mergeCell ref="A3563:B3563"/>
    <mergeCell ref="A3564:B3564"/>
    <mergeCell ref="A3565:B3565"/>
    <mergeCell ref="A3566:B3566"/>
    <mergeCell ref="A3567:B3567"/>
    <mergeCell ref="A3568:B3568"/>
    <mergeCell ref="A3623:B3623"/>
    <mergeCell ref="A3624:B3624"/>
    <mergeCell ref="A3625:B3625"/>
    <mergeCell ref="A3626:B3626"/>
    <mergeCell ref="A3627:B3627"/>
    <mergeCell ref="A3628:B3628"/>
    <mergeCell ref="A3629:B3629"/>
    <mergeCell ref="A3630:B3630"/>
    <mergeCell ref="A3631:B3631"/>
    <mergeCell ref="A3614:B3614"/>
    <mergeCell ref="A3615:B3615"/>
    <mergeCell ref="A3616:B3616"/>
    <mergeCell ref="A3617:B3617"/>
    <mergeCell ref="A3618:B3618"/>
    <mergeCell ref="A3619:B3619"/>
    <mergeCell ref="A3620:B3620"/>
    <mergeCell ref="A3621:B3621"/>
    <mergeCell ref="A3622:B3622"/>
    <mergeCell ref="A3605:B3605"/>
    <mergeCell ref="A3606:B3606"/>
    <mergeCell ref="A3607:B3607"/>
    <mergeCell ref="A3608:B3608"/>
    <mergeCell ref="A3609:B3609"/>
    <mergeCell ref="A3610:B3610"/>
    <mergeCell ref="A3611:B3611"/>
    <mergeCell ref="A3612:B3612"/>
    <mergeCell ref="A3613:B3613"/>
    <mergeCell ref="A3596:B3596"/>
    <mergeCell ref="A3597:B3597"/>
    <mergeCell ref="A3598:B3598"/>
    <mergeCell ref="A3599:B3599"/>
    <mergeCell ref="A3600:B3600"/>
    <mergeCell ref="A3601:B3601"/>
    <mergeCell ref="A3602:B3602"/>
    <mergeCell ref="A3603:B3603"/>
    <mergeCell ref="A3604:B3604"/>
    <mergeCell ref="A3659:B3659"/>
    <mergeCell ref="A3660:B3660"/>
    <mergeCell ref="A3661:B3661"/>
    <mergeCell ref="A3662:B3662"/>
    <mergeCell ref="A3663:B3663"/>
    <mergeCell ref="A3664:B3664"/>
    <mergeCell ref="A3665:B3665"/>
    <mergeCell ref="A3666:B3666"/>
    <mergeCell ref="A3667:B3667"/>
    <mergeCell ref="A3650:B3650"/>
    <mergeCell ref="A3651:B3651"/>
    <mergeCell ref="A3652:B3652"/>
    <mergeCell ref="A3653:B3653"/>
    <mergeCell ref="A3654:B3654"/>
    <mergeCell ref="A3655:B3655"/>
    <mergeCell ref="A3656:B3656"/>
    <mergeCell ref="A3657:B3657"/>
    <mergeCell ref="A3658:B3658"/>
    <mergeCell ref="A3641:B3641"/>
    <mergeCell ref="A3642:B3642"/>
    <mergeCell ref="A3643:B3643"/>
    <mergeCell ref="A3644:B3644"/>
    <mergeCell ref="A3645:B3645"/>
    <mergeCell ref="A3646:B3646"/>
    <mergeCell ref="A3647:B3647"/>
    <mergeCell ref="A3648:B3648"/>
    <mergeCell ref="A3649:B3649"/>
    <mergeCell ref="A3632:B3632"/>
    <mergeCell ref="A3633:B3633"/>
    <mergeCell ref="A3634:B3634"/>
    <mergeCell ref="A3635:B3635"/>
    <mergeCell ref="A3636:B3636"/>
    <mergeCell ref="A3637:B3637"/>
    <mergeCell ref="A3638:B3638"/>
    <mergeCell ref="A3639:B3639"/>
    <mergeCell ref="A3640:B3640"/>
    <mergeCell ref="A3695:B3695"/>
    <mergeCell ref="A3696:B3696"/>
    <mergeCell ref="A3697:B3697"/>
    <mergeCell ref="A3698:B3698"/>
    <mergeCell ref="A3699:B3699"/>
    <mergeCell ref="A3700:B3700"/>
    <mergeCell ref="A3701:B3701"/>
    <mergeCell ref="A3702:B3702"/>
    <mergeCell ref="A3703:B3703"/>
    <mergeCell ref="A3686:B3686"/>
    <mergeCell ref="A3687:B3687"/>
    <mergeCell ref="A3688:B3688"/>
    <mergeCell ref="A3689:B3689"/>
    <mergeCell ref="A3690:B3690"/>
    <mergeCell ref="A3691:B3691"/>
    <mergeCell ref="A3692:B3692"/>
    <mergeCell ref="A3693:B3693"/>
    <mergeCell ref="A3694:B3694"/>
    <mergeCell ref="A3677:B3677"/>
    <mergeCell ref="A3678:B3678"/>
    <mergeCell ref="A3679:B3679"/>
    <mergeCell ref="A3680:B3680"/>
    <mergeCell ref="A3681:B3681"/>
    <mergeCell ref="A3682:B3682"/>
    <mergeCell ref="A3683:B3683"/>
    <mergeCell ref="A3684:B3684"/>
    <mergeCell ref="A3685:B3685"/>
    <mergeCell ref="A3668:B3668"/>
    <mergeCell ref="A3669:B3669"/>
    <mergeCell ref="A3670:B3670"/>
    <mergeCell ref="A3671:B3671"/>
    <mergeCell ref="A3672:B3672"/>
    <mergeCell ref="A3673:B3673"/>
    <mergeCell ref="A3674:B3674"/>
    <mergeCell ref="A3675:B3675"/>
    <mergeCell ref="A3676:B3676"/>
    <mergeCell ref="A3731:B3731"/>
    <mergeCell ref="A3732:B3732"/>
    <mergeCell ref="A3733:B3733"/>
    <mergeCell ref="A3734:B3734"/>
    <mergeCell ref="A3735:B3735"/>
    <mergeCell ref="A3736:B3736"/>
    <mergeCell ref="A3737:B3737"/>
    <mergeCell ref="A3738:B3738"/>
    <mergeCell ref="A3739:B3739"/>
    <mergeCell ref="A3722:B3722"/>
    <mergeCell ref="A3723:B3723"/>
    <mergeCell ref="A3724:B3724"/>
    <mergeCell ref="A3725:B3725"/>
    <mergeCell ref="A3726:B3726"/>
    <mergeCell ref="A3727:B3727"/>
    <mergeCell ref="A3728:B3728"/>
    <mergeCell ref="A3729:B3729"/>
    <mergeCell ref="A3730:B3730"/>
    <mergeCell ref="A3713:B3713"/>
    <mergeCell ref="A3714:B3714"/>
    <mergeCell ref="A3715:B3715"/>
    <mergeCell ref="A3716:B3716"/>
    <mergeCell ref="A3717:B3717"/>
    <mergeCell ref="A3718:B3718"/>
    <mergeCell ref="A3719:B3719"/>
    <mergeCell ref="A3720:B3720"/>
    <mergeCell ref="A3721:B3721"/>
    <mergeCell ref="A3704:B3704"/>
    <mergeCell ref="A3705:B3705"/>
    <mergeCell ref="A3706:B3706"/>
    <mergeCell ref="A3707:B3707"/>
    <mergeCell ref="A3708:B3708"/>
    <mergeCell ref="A3709:B3709"/>
    <mergeCell ref="A3710:B3710"/>
    <mergeCell ref="A3711:B3711"/>
    <mergeCell ref="A3712:B3712"/>
    <mergeCell ref="A3767:B3767"/>
    <mergeCell ref="A3768:B3768"/>
    <mergeCell ref="A3769:B3769"/>
    <mergeCell ref="A3770:B3770"/>
    <mergeCell ref="A3771:B3771"/>
    <mergeCell ref="A3772:B3772"/>
    <mergeCell ref="A3773:B3773"/>
    <mergeCell ref="A3774:B3774"/>
    <mergeCell ref="A3775:B3775"/>
    <mergeCell ref="A3758:B3758"/>
    <mergeCell ref="A3759:B3759"/>
    <mergeCell ref="A3760:B3760"/>
    <mergeCell ref="A3761:B3761"/>
    <mergeCell ref="A3762:B3762"/>
    <mergeCell ref="A3763:B3763"/>
    <mergeCell ref="A3764:B3764"/>
    <mergeCell ref="A3765:B3765"/>
    <mergeCell ref="A3766:B3766"/>
    <mergeCell ref="A3749:B3749"/>
    <mergeCell ref="A3750:B3750"/>
    <mergeCell ref="A3751:B3751"/>
    <mergeCell ref="A3752:B3752"/>
    <mergeCell ref="A3753:B3753"/>
    <mergeCell ref="A3754:B3754"/>
    <mergeCell ref="A3755:B3755"/>
    <mergeCell ref="A3756:B3756"/>
    <mergeCell ref="A3757:B3757"/>
    <mergeCell ref="A3740:B3740"/>
    <mergeCell ref="A3741:B3741"/>
    <mergeCell ref="A3742:B3742"/>
    <mergeCell ref="A3743:B3743"/>
    <mergeCell ref="A3744:B3744"/>
    <mergeCell ref="A3745:B3745"/>
    <mergeCell ref="A3746:B3746"/>
    <mergeCell ref="A3747:B3747"/>
    <mergeCell ref="A3748:B3748"/>
    <mergeCell ref="A3803:B3803"/>
    <mergeCell ref="A3804:B3804"/>
    <mergeCell ref="A3805:B3805"/>
    <mergeCell ref="A3806:B3806"/>
    <mergeCell ref="A3807:B3807"/>
    <mergeCell ref="A3808:B3808"/>
    <mergeCell ref="A3809:B3809"/>
    <mergeCell ref="A3810:B3810"/>
    <mergeCell ref="A3811:B3811"/>
    <mergeCell ref="A3794:B3794"/>
    <mergeCell ref="A3795:B3795"/>
    <mergeCell ref="A3796:B3796"/>
    <mergeCell ref="A3797:B3797"/>
    <mergeCell ref="A3798:B3798"/>
    <mergeCell ref="A3799:B3799"/>
    <mergeCell ref="A3800:B3800"/>
    <mergeCell ref="A3801:B3801"/>
    <mergeCell ref="A3802:B3802"/>
    <mergeCell ref="A3785:B3785"/>
    <mergeCell ref="A3786:B3786"/>
    <mergeCell ref="A3787:B3787"/>
    <mergeCell ref="A3788:B3788"/>
    <mergeCell ref="A3789:B3789"/>
    <mergeCell ref="A3790:B3790"/>
    <mergeCell ref="A3791:B3791"/>
    <mergeCell ref="A3792:B3792"/>
    <mergeCell ref="A3793:B3793"/>
    <mergeCell ref="A3776:B3776"/>
    <mergeCell ref="A3777:B3777"/>
    <mergeCell ref="A3778:B3778"/>
    <mergeCell ref="A3779:B3779"/>
    <mergeCell ref="A3780:B3780"/>
    <mergeCell ref="A3781:B3781"/>
    <mergeCell ref="A3782:B3782"/>
    <mergeCell ref="A3783:B3783"/>
    <mergeCell ref="A3784:B3784"/>
    <mergeCell ref="A3839:B3839"/>
    <mergeCell ref="A3840:B3840"/>
    <mergeCell ref="A3841:B3841"/>
    <mergeCell ref="A3842:B3842"/>
    <mergeCell ref="A3843:B3843"/>
    <mergeCell ref="A3844:B3844"/>
    <mergeCell ref="A3845:B3845"/>
    <mergeCell ref="A3846:B3846"/>
    <mergeCell ref="A3847:B3847"/>
    <mergeCell ref="A3830:B3830"/>
    <mergeCell ref="A3831:B3831"/>
    <mergeCell ref="A3832:B3832"/>
    <mergeCell ref="A3833:B3833"/>
    <mergeCell ref="A3834:B3834"/>
    <mergeCell ref="A3835:B3835"/>
    <mergeCell ref="A3836:B3836"/>
    <mergeCell ref="A3837:B3837"/>
    <mergeCell ref="A3838:B3838"/>
    <mergeCell ref="A3821:B3821"/>
    <mergeCell ref="A3822:B3822"/>
    <mergeCell ref="A3823:B3823"/>
    <mergeCell ref="A3824:B3824"/>
    <mergeCell ref="A3825:B3825"/>
    <mergeCell ref="A3826:B3826"/>
    <mergeCell ref="A3827:B3827"/>
    <mergeCell ref="A3828:B3828"/>
    <mergeCell ref="A3829:B3829"/>
    <mergeCell ref="A3812:B3812"/>
    <mergeCell ref="A3813:B3813"/>
    <mergeCell ref="A3814:B3814"/>
    <mergeCell ref="A3815:B3815"/>
    <mergeCell ref="A3816:B3816"/>
    <mergeCell ref="A3817:B3817"/>
    <mergeCell ref="A3818:B3818"/>
    <mergeCell ref="A3819:B3819"/>
    <mergeCell ref="A3820:B3820"/>
    <mergeCell ref="A3875:B3875"/>
    <mergeCell ref="A3876:B3876"/>
    <mergeCell ref="A3877:B3877"/>
    <mergeCell ref="A3878:B3878"/>
    <mergeCell ref="A3879:B3879"/>
    <mergeCell ref="A3880:B3880"/>
    <mergeCell ref="A3881:B3881"/>
    <mergeCell ref="A3882:B3882"/>
    <mergeCell ref="A3883:B3883"/>
    <mergeCell ref="A3866:B3866"/>
    <mergeCell ref="A3867:B3867"/>
    <mergeCell ref="A3868:B3868"/>
    <mergeCell ref="A3869:B3869"/>
    <mergeCell ref="A3870:B3870"/>
    <mergeCell ref="A3871:B3871"/>
    <mergeCell ref="A3872:B3872"/>
    <mergeCell ref="A3873:B3873"/>
    <mergeCell ref="A3874:B3874"/>
    <mergeCell ref="A3857:B3857"/>
    <mergeCell ref="A3858:B3858"/>
    <mergeCell ref="A3859:B3859"/>
    <mergeCell ref="A3860:B3860"/>
    <mergeCell ref="A3861:B3861"/>
    <mergeCell ref="A3862:B3862"/>
    <mergeCell ref="A3863:B3863"/>
    <mergeCell ref="A3864:B3864"/>
    <mergeCell ref="A3865:B3865"/>
    <mergeCell ref="A3848:B3848"/>
    <mergeCell ref="A3849:B3849"/>
    <mergeCell ref="A3850:B3850"/>
    <mergeCell ref="A3851:B3851"/>
    <mergeCell ref="A3852:B3852"/>
    <mergeCell ref="A3853:B3853"/>
    <mergeCell ref="A3854:B3854"/>
    <mergeCell ref="A3855:B3855"/>
    <mergeCell ref="A3856:B3856"/>
    <mergeCell ref="A3911:B3911"/>
    <mergeCell ref="A3912:B3912"/>
    <mergeCell ref="A3913:B3913"/>
    <mergeCell ref="A3914:B3914"/>
    <mergeCell ref="A3915:B3915"/>
    <mergeCell ref="A3916:B3916"/>
    <mergeCell ref="A3917:B3917"/>
    <mergeCell ref="A3918:B3918"/>
    <mergeCell ref="A3919:B3919"/>
    <mergeCell ref="A3902:B3902"/>
    <mergeCell ref="A3903:B3903"/>
    <mergeCell ref="A3904:B3904"/>
    <mergeCell ref="A3905:B3905"/>
    <mergeCell ref="A3906:B3906"/>
    <mergeCell ref="A3907:B3907"/>
    <mergeCell ref="A3908:B3908"/>
    <mergeCell ref="A3909:B3909"/>
    <mergeCell ref="A3910:B3910"/>
    <mergeCell ref="A3893:B3893"/>
    <mergeCell ref="A3894:B3894"/>
    <mergeCell ref="A3895:B3895"/>
    <mergeCell ref="A3896:B3896"/>
    <mergeCell ref="A3897:B3897"/>
    <mergeCell ref="A3898:B3898"/>
    <mergeCell ref="A3899:B3899"/>
    <mergeCell ref="A3900:B3900"/>
    <mergeCell ref="A3901:B3901"/>
    <mergeCell ref="A3884:B3884"/>
    <mergeCell ref="A3885:B3885"/>
    <mergeCell ref="A3886:B3886"/>
    <mergeCell ref="A3887:B3887"/>
    <mergeCell ref="A3888:B3888"/>
    <mergeCell ref="A3889:B3889"/>
    <mergeCell ref="A3890:B3890"/>
    <mergeCell ref="A3891:B3891"/>
    <mergeCell ref="A3892:B3892"/>
    <mergeCell ref="A3947:B3947"/>
    <mergeCell ref="A3948:B3948"/>
    <mergeCell ref="A3949:B3949"/>
    <mergeCell ref="A3950:B3950"/>
    <mergeCell ref="A3951:B3951"/>
    <mergeCell ref="A3952:B3952"/>
    <mergeCell ref="A3953:B3953"/>
    <mergeCell ref="A3954:B3954"/>
    <mergeCell ref="A3955:B3955"/>
    <mergeCell ref="A3938:B3938"/>
    <mergeCell ref="A3939:B3939"/>
    <mergeCell ref="A3940:B3940"/>
    <mergeCell ref="A3941:B3941"/>
    <mergeCell ref="A3942:B3942"/>
    <mergeCell ref="A3943:B3943"/>
    <mergeCell ref="A3944:B3944"/>
    <mergeCell ref="A3945:B3945"/>
    <mergeCell ref="A3946:B3946"/>
    <mergeCell ref="A3929:B3929"/>
    <mergeCell ref="A3930:B3930"/>
    <mergeCell ref="A3931:B3931"/>
    <mergeCell ref="A3932:B3932"/>
    <mergeCell ref="A3933:B3933"/>
    <mergeCell ref="A3934:B3934"/>
    <mergeCell ref="A3935:B3935"/>
    <mergeCell ref="A3936:B3936"/>
    <mergeCell ref="A3937:B3937"/>
    <mergeCell ref="A3920:B3920"/>
    <mergeCell ref="A3921:B3921"/>
    <mergeCell ref="A3922:B3922"/>
    <mergeCell ref="A3923:B3923"/>
    <mergeCell ref="A3924:B3924"/>
    <mergeCell ref="A3925:B3925"/>
    <mergeCell ref="A3926:B3926"/>
    <mergeCell ref="A3927:B3927"/>
    <mergeCell ref="A3928:B3928"/>
    <mergeCell ref="A3983:B3983"/>
    <mergeCell ref="A3984:B3984"/>
    <mergeCell ref="A3985:B3985"/>
    <mergeCell ref="A3986:B3986"/>
    <mergeCell ref="A3987:B3987"/>
    <mergeCell ref="A3988:B3988"/>
    <mergeCell ref="A3989:B3989"/>
    <mergeCell ref="A3990:B3990"/>
    <mergeCell ref="A3991:B3991"/>
    <mergeCell ref="A3974:B3974"/>
    <mergeCell ref="A3975:B3975"/>
    <mergeCell ref="A3976:B3976"/>
    <mergeCell ref="A3977:B3977"/>
    <mergeCell ref="A3978:B3978"/>
    <mergeCell ref="A3979:B3979"/>
    <mergeCell ref="A3980:B3980"/>
    <mergeCell ref="A3981:B3981"/>
    <mergeCell ref="A3982:B3982"/>
    <mergeCell ref="A3965:B3965"/>
    <mergeCell ref="A3966:B3966"/>
    <mergeCell ref="A3967:B3967"/>
    <mergeCell ref="A3968:B3968"/>
    <mergeCell ref="A3969:B3969"/>
    <mergeCell ref="A3970:B3970"/>
    <mergeCell ref="A3971:B3971"/>
    <mergeCell ref="A3972:B3972"/>
    <mergeCell ref="A3973:B3973"/>
    <mergeCell ref="A3956:B3956"/>
    <mergeCell ref="A3957:B3957"/>
    <mergeCell ref="A3958:B3958"/>
    <mergeCell ref="A3959:B3959"/>
    <mergeCell ref="A3960:B3960"/>
    <mergeCell ref="A3961:B3961"/>
    <mergeCell ref="A3962:B3962"/>
    <mergeCell ref="A3963:B3963"/>
    <mergeCell ref="A3964:B3964"/>
    <mergeCell ref="A4019:B4019"/>
    <mergeCell ref="A4020:B4020"/>
    <mergeCell ref="A4021:B4021"/>
    <mergeCell ref="A4022:B4022"/>
    <mergeCell ref="A4023:B4023"/>
    <mergeCell ref="A4024:B4024"/>
    <mergeCell ref="A4025:B4025"/>
    <mergeCell ref="A4026:B4026"/>
    <mergeCell ref="A4027:B4027"/>
    <mergeCell ref="A4010:B4010"/>
    <mergeCell ref="A4011:B4011"/>
    <mergeCell ref="A4012:B4012"/>
    <mergeCell ref="A4013:B4013"/>
    <mergeCell ref="A4014:B4014"/>
    <mergeCell ref="A4015:B4015"/>
    <mergeCell ref="A4016:B4016"/>
    <mergeCell ref="A4017:B4017"/>
    <mergeCell ref="A4018:B4018"/>
    <mergeCell ref="A4001:B4001"/>
    <mergeCell ref="A4002:B4002"/>
    <mergeCell ref="A4003:B4003"/>
    <mergeCell ref="A4004:B4004"/>
    <mergeCell ref="A4005:B4005"/>
    <mergeCell ref="A4006:B4006"/>
    <mergeCell ref="A4007:B4007"/>
    <mergeCell ref="A4008:B4008"/>
    <mergeCell ref="A4009:B4009"/>
    <mergeCell ref="A3992:B3992"/>
    <mergeCell ref="A3993:B3993"/>
    <mergeCell ref="A3994:B3994"/>
    <mergeCell ref="A3995:B3995"/>
    <mergeCell ref="A3996:B3996"/>
    <mergeCell ref="A3997:B3997"/>
    <mergeCell ref="A3998:B3998"/>
    <mergeCell ref="A3999:B3999"/>
    <mergeCell ref="A4000:B4000"/>
    <mergeCell ref="A4055:B4055"/>
    <mergeCell ref="A4056:B4056"/>
    <mergeCell ref="A4057:B4057"/>
    <mergeCell ref="A4058:B4058"/>
    <mergeCell ref="A4059:B4059"/>
    <mergeCell ref="A4060:B4060"/>
    <mergeCell ref="A4061:B4061"/>
    <mergeCell ref="A4062:B4062"/>
    <mergeCell ref="A4063:B4063"/>
    <mergeCell ref="A4046:B4046"/>
    <mergeCell ref="A4047:B4047"/>
    <mergeCell ref="A4048:B4048"/>
    <mergeCell ref="A4049:B4049"/>
    <mergeCell ref="A4050:B4050"/>
    <mergeCell ref="A4051:B4051"/>
    <mergeCell ref="A4052:B4052"/>
    <mergeCell ref="A4053:B4053"/>
    <mergeCell ref="A4054:B4054"/>
    <mergeCell ref="A4037:B4037"/>
    <mergeCell ref="A4038:B4038"/>
    <mergeCell ref="A4039:B4039"/>
    <mergeCell ref="A4040:B4040"/>
    <mergeCell ref="A4041:B4041"/>
    <mergeCell ref="A4042:B4042"/>
    <mergeCell ref="A4043:B4043"/>
    <mergeCell ref="A4044:B4044"/>
    <mergeCell ref="A4045:B4045"/>
    <mergeCell ref="A4028:B4028"/>
    <mergeCell ref="A4029:B4029"/>
    <mergeCell ref="A4030:B4030"/>
    <mergeCell ref="A4031:B4031"/>
    <mergeCell ref="A4032:B4032"/>
    <mergeCell ref="A4033:B4033"/>
    <mergeCell ref="A4034:B4034"/>
    <mergeCell ref="A4035:B4035"/>
    <mergeCell ref="A4036:B4036"/>
    <mergeCell ref="A4091:B4091"/>
    <mergeCell ref="A4092:B4092"/>
    <mergeCell ref="A4093:B4093"/>
    <mergeCell ref="A4094:B4094"/>
    <mergeCell ref="A4095:B4095"/>
    <mergeCell ref="A4096:B4096"/>
    <mergeCell ref="A4097:B4097"/>
    <mergeCell ref="A4098:B4098"/>
    <mergeCell ref="A4099:B4099"/>
    <mergeCell ref="A4082:B4082"/>
    <mergeCell ref="A4083:B4083"/>
    <mergeCell ref="A4084:B4084"/>
    <mergeCell ref="A4085:B4085"/>
    <mergeCell ref="A4086:B4086"/>
    <mergeCell ref="A4087:B4087"/>
    <mergeCell ref="A4088:B4088"/>
    <mergeCell ref="A4089:B4089"/>
    <mergeCell ref="A4090:B4090"/>
    <mergeCell ref="A4073:B4073"/>
    <mergeCell ref="A4074:B4074"/>
    <mergeCell ref="A4075:B4075"/>
    <mergeCell ref="A4076:B4076"/>
    <mergeCell ref="A4077:B4077"/>
    <mergeCell ref="A4078:B4078"/>
    <mergeCell ref="A4079:B4079"/>
    <mergeCell ref="A4080:B4080"/>
    <mergeCell ref="A4081:B4081"/>
    <mergeCell ref="A4064:B4064"/>
    <mergeCell ref="A4065:B4065"/>
    <mergeCell ref="A4066:B4066"/>
    <mergeCell ref="A4067:B4067"/>
    <mergeCell ref="A4068:B4068"/>
    <mergeCell ref="A4069:B4069"/>
    <mergeCell ref="A4070:B4070"/>
    <mergeCell ref="A4071:B4071"/>
    <mergeCell ref="A4072:B4072"/>
    <mergeCell ref="A4127:B4127"/>
    <mergeCell ref="A4128:B4128"/>
    <mergeCell ref="A4129:B4129"/>
    <mergeCell ref="A4130:B4130"/>
    <mergeCell ref="A4131:B4131"/>
    <mergeCell ref="A4132:B4132"/>
    <mergeCell ref="A4133:B4133"/>
    <mergeCell ref="A4134:B4134"/>
    <mergeCell ref="A4135:B4135"/>
    <mergeCell ref="A4118:B4118"/>
    <mergeCell ref="A4119:B4119"/>
    <mergeCell ref="A4120:B4120"/>
    <mergeCell ref="A4121:B4121"/>
    <mergeCell ref="A4122:B4122"/>
    <mergeCell ref="A4123:B4123"/>
    <mergeCell ref="A4124:B4124"/>
    <mergeCell ref="A4125:B4125"/>
    <mergeCell ref="A4126:B4126"/>
    <mergeCell ref="A4109:B4109"/>
    <mergeCell ref="A4110:B4110"/>
    <mergeCell ref="A4111:B4111"/>
    <mergeCell ref="A4112:B4112"/>
    <mergeCell ref="A4113:B4113"/>
    <mergeCell ref="A4114:B4114"/>
    <mergeCell ref="A4115:B4115"/>
    <mergeCell ref="A4116:B4116"/>
    <mergeCell ref="A4117:B4117"/>
    <mergeCell ref="A4100:B4100"/>
    <mergeCell ref="A4101:B4101"/>
    <mergeCell ref="A4102:B4102"/>
    <mergeCell ref="A4103:B4103"/>
    <mergeCell ref="A4104:B4104"/>
    <mergeCell ref="A4105:B4105"/>
    <mergeCell ref="A4106:B4106"/>
    <mergeCell ref="A4107:B4107"/>
    <mergeCell ref="A4108:B4108"/>
    <mergeCell ref="A4163:B4163"/>
    <mergeCell ref="A4164:B4164"/>
    <mergeCell ref="A4165:B4165"/>
    <mergeCell ref="A4166:B4166"/>
    <mergeCell ref="A4167:B4167"/>
    <mergeCell ref="A4168:B4168"/>
    <mergeCell ref="A4169:B4169"/>
    <mergeCell ref="A4170:B4170"/>
    <mergeCell ref="A4171:B4171"/>
    <mergeCell ref="A4154:B4154"/>
    <mergeCell ref="A4155:B4155"/>
    <mergeCell ref="A4156:B4156"/>
    <mergeCell ref="A4157:B4157"/>
    <mergeCell ref="A4158:B4158"/>
    <mergeCell ref="A4159:B4159"/>
    <mergeCell ref="A4160:B4160"/>
    <mergeCell ref="A4161:B4161"/>
    <mergeCell ref="A4162:B4162"/>
    <mergeCell ref="A4145:B4145"/>
    <mergeCell ref="A4146:B4146"/>
    <mergeCell ref="A4147:B4147"/>
    <mergeCell ref="A4148:B4148"/>
    <mergeCell ref="A4149:B4149"/>
    <mergeCell ref="A4150:B4150"/>
    <mergeCell ref="A4151:B4151"/>
    <mergeCell ref="A4152:B4152"/>
    <mergeCell ref="A4153:B4153"/>
    <mergeCell ref="A4136:B4136"/>
    <mergeCell ref="A4137:B4137"/>
    <mergeCell ref="A4138:B4138"/>
    <mergeCell ref="A4139:B4139"/>
    <mergeCell ref="A4140:B4140"/>
    <mergeCell ref="A4141:B4141"/>
    <mergeCell ref="A4142:B4142"/>
    <mergeCell ref="A4143:B4143"/>
    <mergeCell ref="A4144:B4144"/>
    <mergeCell ref="A4212:B4212"/>
    <mergeCell ref="A4213:B4213"/>
    <mergeCell ref="A4214:B4214"/>
    <mergeCell ref="A4215:B4215"/>
    <mergeCell ref="A4216:B4216"/>
    <mergeCell ref="A4199:B4199"/>
    <mergeCell ref="A4200:B4200"/>
    <mergeCell ref="A4201:B4201"/>
    <mergeCell ref="A4202:B4202"/>
    <mergeCell ref="A4203:B4203"/>
    <mergeCell ref="A4204:B4204"/>
    <mergeCell ref="A4205:B4205"/>
    <mergeCell ref="A4206:B4206"/>
    <mergeCell ref="A4207:B4207"/>
    <mergeCell ref="A4190:B4190"/>
    <mergeCell ref="A4191:B4191"/>
    <mergeCell ref="A4192:B4192"/>
    <mergeCell ref="A4193:B4193"/>
    <mergeCell ref="A4194:B4194"/>
    <mergeCell ref="A4195:B4195"/>
    <mergeCell ref="A4196:B4196"/>
    <mergeCell ref="A4197:B4197"/>
    <mergeCell ref="A4198:B4198"/>
    <mergeCell ref="A4181:B4181"/>
    <mergeCell ref="A4182:B4182"/>
    <mergeCell ref="A4183:B4183"/>
    <mergeCell ref="A4184:B4184"/>
    <mergeCell ref="A4185:B4185"/>
    <mergeCell ref="A4186:B4186"/>
    <mergeCell ref="A4187:B4187"/>
    <mergeCell ref="A4188:B4188"/>
    <mergeCell ref="A4189:B4189"/>
    <mergeCell ref="A4172:B4172"/>
    <mergeCell ref="A4173:B4173"/>
    <mergeCell ref="A4174:B4174"/>
    <mergeCell ref="A4175:B4175"/>
    <mergeCell ref="A4176:B4176"/>
    <mergeCell ref="A4177:B4177"/>
    <mergeCell ref="A4178:B4178"/>
    <mergeCell ref="A4179:B4179"/>
    <mergeCell ref="A4180:B4180"/>
    <mergeCell ref="A2360:B2360"/>
    <mergeCell ref="A2361:B2361"/>
    <mergeCell ref="A2362:B2362"/>
    <mergeCell ref="A2363:B2363"/>
    <mergeCell ref="A2364:B2364"/>
    <mergeCell ref="A2365:B2365"/>
    <mergeCell ref="A2366:B2366"/>
    <mergeCell ref="A2367:B2367"/>
    <mergeCell ref="A2368:B2368"/>
    <mergeCell ref="A2351:B2351"/>
    <mergeCell ref="A2352:B2352"/>
    <mergeCell ref="A2353:B2353"/>
    <mergeCell ref="A2354:B2354"/>
    <mergeCell ref="A2355:B2355"/>
    <mergeCell ref="A2356:B2356"/>
    <mergeCell ref="A2357:B2357"/>
    <mergeCell ref="A2358:B2358"/>
    <mergeCell ref="A2359:B2359"/>
    <mergeCell ref="A4235:B4235"/>
    <mergeCell ref="A4236:B4236"/>
    <mergeCell ref="A2329:B2329"/>
    <mergeCell ref="A2330:B2330"/>
    <mergeCell ref="A2331:B2331"/>
    <mergeCell ref="A2332:B2332"/>
    <mergeCell ref="A2333:B2333"/>
    <mergeCell ref="A2334:B2334"/>
    <mergeCell ref="A2335:B2335"/>
    <mergeCell ref="A2336:B2336"/>
    <mergeCell ref="A2337:B2337"/>
    <mergeCell ref="A2338:B2338"/>
    <mergeCell ref="A2339:B2339"/>
    <mergeCell ref="A2340:B2340"/>
    <mergeCell ref="A2341:B2341"/>
    <mergeCell ref="A2342:B2342"/>
    <mergeCell ref="A2343:B2343"/>
    <mergeCell ref="A2344:B2344"/>
    <mergeCell ref="A2345:B2345"/>
    <mergeCell ref="A2346:B2346"/>
    <mergeCell ref="A2347:B2347"/>
    <mergeCell ref="A2348:B2348"/>
    <mergeCell ref="A2349:B2349"/>
    <mergeCell ref="A2350:B2350"/>
    <mergeCell ref="A4226:B4226"/>
    <mergeCell ref="A4227:B4227"/>
    <mergeCell ref="A4228:B4228"/>
    <mergeCell ref="A4229:B4229"/>
    <mergeCell ref="A4230:B4230"/>
    <mergeCell ref="A4231:B4231"/>
    <mergeCell ref="A4232:B4232"/>
    <mergeCell ref="A4233:B4233"/>
    <mergeCell ref="A4234:B4234"/>
    <mergeCell ref="A4217:B4217"/>
    <mergeCell ref="A4218:B4218"/>
    <mergeCell ref="A4219:B4219"/>
    <mergeCell ref="A4220:B4220"/>
    <mergeCell ref="A4221:B4221"/>
    <mergeCell ref="A4222:B4222"/>
    <mergeCell ref="A4223:B4223"/>
    <mergeCell ref="A4224:B4224"/>
    <mergeCell ref="A4225:B4225"/>
    <mergeCell ref="A4208:B4208"/>
    <mergeCell ref="A4209:B4209"/>
    <mergeCell ref="A4210:B4210"/>
    <mergeCell ref="A4211:B4211"/>
    <mergeCell ref="A2396:B2396"/>
    <mergeCell ref="A2397:B2397"/>
    <mergeCell ref="A2398:B2398"/>
    <mergeCell ref="A2399:B2399"/>
    <mergeCell ref="A2400:B2400"/>
    <mergeCell ref="A2401:B2401"/>
    <mergeCell ref="A2402:B2402"/>
    <mergeCell ref="A2403:B2403"/>
    <mergeCell ref="A2404:B2404"/>
    <mergeCell ref="A2387:B2387"/>
    <mergeCell ref="A2388:B2388"/>
    <mergeCell ref="A2389:B2389"/>
    <mergeCell ref="A2390:B2390"/>
    <mergeCell ref="A2391:B2391"/>
    <mergeCell ref="A2392:B2392"/>
    <mergeCell ref="A2393:B2393"/>
    <mergeCell ref="A2394:B2394"/>
    <mergeCell ref="A2395:B2395"/>
    <mergeCell ref="A2378:B2378"/>
    <mergeCell ref="A2379:B2379"/>
    <mergeCell ref="A2380:B2380"/>
    <mergeCell ref="A2381:B2381"/>
    <mergeCell ref="A2382:B2382"/>
    <mergeCell ref="A2383:B2383"/>
    <mergeCell ref="A2384:B2384"/>
    <mergeCell ref="A2385:B2385"/>
    <mergeCell ref="A2386:B2386"/>
    <mergeCell ref="A2369:B2369"/>
    <mergeCell ref="A2370:B2370"/>
    <mergeCell ref="A2371:B2371"/>
    <mergeCell ref="A2372:B2372"/>
    <mergeCell ref="A2373:B2373"/>
    <mergeCell ref="A2374:B2374"/>
    <mergeCell ref="A2375:B2375"/>
    <mergeCell ref="A2376:B2376"/>
    <mergeCell ref="A2377:B2377"/>
    <mergeCell ref="A2432:B2432"/>
    <mergeCell ref="A2433:B2433"/>
    <mergeCell ref="A2434:B2434"/>
    <mergeCell ref="A2435:B2435"/>
    <mergeCell ref="A2436:B2436"/>
    <mergeCell ref="A2437:B2437"/>
    <mergeCell ref="A2438:B2438"/>
    <mergeCell ref="A2439:B2439"/>
    <mergeCell ref="A2440:B2440"/>
    <mergeCell ref="A2423:B2423"/>
    <mergeCell ref="A2424:B2424"/>
    <mergeCell ref="A2425:B2425"/>
    <mergeCell ref="A2426:B2426"/>
    <mergeCell ref="A2427:B2427"/>
    <mergeCell ref="A2428:B2428"/>
    <mergeCell ref="A2429:B2429"/>
    <mergeCell ref="A2430:B2430"/>
    <mergeCell ref="A2431:B2431"/>
    <mergeCell ref="A2414:B2414"/>
    <mergeCell ref="A2415:B2415"/>
    <mergeCell ref="A2416:B2416"/>
    <mergeCell ref="A2417:B2417"/>
    <mergeCell ref="A2418:B2418"/>
    <mergeCell ref="A2419:B2419"/>
    <mergeCell ref="A2420:B2420"/>
    <mergeCell ref="A2421:B2421"/>
    <mergeCell ref="A2422:B2422"/>
    <mergeCell ref="A2405:B2405"/>
    <mergeCell ref="A2406:B2406"/>
    <mergeCell ref="A2407:B2407"/>
    <mergeCell ref="A2408:B2408"/>
    <mergeCell ref="A2409:B2409"/>
    <mergeCell ref="A2410:B2410"/>
    <mergeCell ref="A2411:B2411"/>
    <mergeCell ref="A2412:B2412"/>
    <mergeCell ref="A2413:B2413"/>
    <mergeCell ref="A2468:B2468"/>
    <mergeCell ref="A2469:B2469"/>
    <mergeCell ref="A2470:B2470"/>
    <mergeCell ref="A2471:B2471"/>
    <mergeCell ref="A2472:B2472"/>
    <mergeCell ref="A2473:B2473"/>
    <mergeCell ref="A2474:B2474"/>
    <mergeCell ref="A2475:B2475"/>
    <mergeCell ref="A2476:B2476"/>
    <mergeCell ref="A2459:B2459"/>
    <mergeCell ref="A2460:B2460"/>
    <mergeCell ref="A2461:B2461"/>
    <mergeCell ref="A2462:B2462"/>
    <mergeCell ref="A2463:B2463"/>
    <mergeCell ref="A2464:B2464"/>
    <mergeCell ref="A2465:B2465"/>
    <mergeCell ref="A2466:B2466"/>
    <mergeCell ref="A2467:B2467"/>
    <mergeCell ref="A2450:B2450"/>
    <mergeCell ref="A2451:B2451"/>
    <mergeCell ref="A2452:B2452"/>
    <mergeCell ref="A2453:B2453"/>
    <mergeCell ref="A2454:B2454"/>
    <mergeCell ref="A2455:B2455"/>
    <mergeCell ref="A2456:B2456"/>
    <mergeCell ref="A2457:B2457"/>
    <mergeCell ref="A2458:B2458"/>
    <mergeCell ref="A2441:B2441"/>
    <mergeCell ref="A2442:B2442"/>
    <mergeCell ref="A2443:B2443"/>
    <mergeCell ref="A2444:B2444"/>
    <mergeCell ref="A2445:B2445"/>
    <mergeCell ref="A2446:B2446"/>
    <mergeCell ref="A2447:B2447"/>
    <mergeCell ref="A2448:B2448"/>
    <mergeCell ref="A2449:B2449"/>
    <mergeCell ref="A2504:B2504"/>
    <mergeCell ref="A2505:B2505"/>
    <mergeCell ref="A2506:B2506"/>
    <mergeCell ref="A2507:B2507"/>
    <mergeCell ref="A2508:B2508"/>
    <mergeCell ref="A2509:B2509"/>
    <mergeCell ref="A2510:B2510"/>
    <mergeCell ref="A2511:B2511"/>
    <mergeCell ref="A2512:B2512"/>
    <mergeCell ref="A2495:B2495"/>
    <mergeCell ref="A2496:B2496"/>
    <mergeCell ref="A2497:B2497"/>
    <mergeCell ref="A2498:B2498"/>
    <mergeCell ref="A2499:B2499"/>
    <mergeCell ref="A2500:B2500"/>
    <mergeCell ref="A2501:B2501"/>
    <mergeCell ref="A2502:B2502"/>
    <mergeCell ref="A2503:B2503"/>
    <mergeCell ref="A2486:B2486"/>
    <mergeCell ref="A2487:B2487"/>
    <mergeCell ref="A2488:B2488"/>
    <mergeCell ref="A2489:B2489"/>
    <mergeCell ref="A2490:B2490"/>
    <mergeCell ref="A2491:B2491"/>
    <mergeCell ref="A2492:B2492"/>
    <mergeCell ref="A2493:B2493"/>
    <mergeCell ref="A2494:B2494"/>
    <mergeCell ref="A2477:B2477"/>
    <mergeCell ref="A2478:B2478"/>
    <mergeCell ref="A2479:B2479"/>
    <mergeCell ref="A2480:B2480"/>
    <mergeCell ref="A2481:B2481"/>
    <mergeCell ref="A2482:B2482"/>
    <mergeCell ref="A2483:B2483"/>
    <mergeCell ref="A2484:B2484"/>
    <mergeCell ref="A2485:B2485"/>
    <mergeCell ref="A2540:B2540"/>
    <mergeCell ref="A2541:B2541"/>
    <mergeCell ref="A2542:B2542"/>
    <mergeCell ref="A2543:B2543"/>
    <mergeCell ref="A2544:B2544"/>
    <mergeCell ref="A2545:B2545"/>
    <mergeCell ref="A2546:B2546"/>
    <mergeCell ref="A2547:B2547"/>
    <mergeCell ref="A2548:B2548"/>
    <mergeCell ref="A2531:B2531"/>
    <mergeCell ref="A2532:B2532"/>
    <mergeCell ref="A2533:B2533"/>
    <mergeCell ref="A2534:B2534"/>
    <mergeCell ref="A2535:B2535"/>
    <mergeCell ref="A2536:B2536"/>
    <mergeCell ref="A2537:B2537"/>
    <mergeCell ref="A2538:B2538"/>
    <mergeCell ref="A2539:B2539"/>
    <mergeCell ref="A2522:B2522"/>
    <mergeCell ref="A2523:B2523"/>
    <mergeCell ref="A2524:B2524"/>
    <mergeCell ref="A2525:B2525"/>
    <mergeCell ref="A2526:B2526"/>
    <mergeCell ref="A2527:B2527"/>
    <mergeCell ref="A2528:B2528"/>
    <mergeCell ref="A2529:B2529"/>
    <mergeCell ref="A2530:B2530"/>
    <mergeCell ref="A2513:B2513"/>
    <mergeCell ref="A2514:B2514"/>
    <mergeCell ref="A2515:B2515"/>
    <mergeCell ref="A2516:B2516"/>
    <mergeCell ref="A2517:B2517"/>
    <mergeCell ref="A2518:B2518"/>
    <mergeCell ref="A2519:B2519"/>
    <mergeCell ref="A2520:B2520"/>
    <mergeCell ref="A2521:B2521"/>
    <mergeCell ref="A2576:B2576"/>
    <mergeCell ref="A2577:B2577"/>
    <mergeCell ref="A2578:B2578"/>
    <mergeCell ref="A2579:B2579"/>
    <mergeCell ref="A2580:B2580"/>
    <mergeCell ref="A2581:B2581"/>
    <mergeCell ref="A2582:B2582"/>
    <mergeCell ref="A2583:B2583"/>
    <mergeCell ref="A2584:B2584"/>
    <mergeCell ref="A2567:B2567"/>
    <mergeCell ref="A2568:B2568"/>
    <mergeCell ref="A2569:B2569"/>
    <mergeCell ref="A2570:B2570"/>
    <mergeCell ref="A2571:B2571"/>
    <mergeCell ref="A2572:B2572"/>
    <mergeCell ref="A2573:B2573"/>
    <mergeCell ref="A2574:B2574"/>
    <mergeCell ref="A2575:B2575"/>
    <mergeCell ref="A2558:B2558"/>
    <mergeCell ref="A2559:B2559"/>
    <mergeCell ref="A2560:B2560"/>
    <mergeCell ref="A2561:B2561"/>
    <mergeCell ref="A2562:B2562"/>
    <mergeCell ref="A2563:B2563"/>
    <mergeCell ref="A2564:B2564"/>
    <mergeCell ref="A2565:B2565"/>
    <mergeCell ref="A2566:B2566"/>
    <mergeCell ref="A2549:B2549"/>
    <mergeCell ref="A2550:B2550"/>
    <mergeCell ref="A2551:B2551"/>
    <mergeCell ref="A2552:B2552"/>
    <mergeCell ref="A2553:B2553"/>
    <mergeCell ref="A2554:B2554"/>
    <mergeCell ref="A2555:B2555"/>
    <mergeCell ref="A2556:B2556"/>
    <mergeCell ref="A2557:B2557"/>
    <mergeCell ref="A2612:B2612"/>
    <mergeCell ref="A2613:B2613"/>
    <mergeCell ref="A2614:B2614"/>
    <mergeCell ref="A2615:B2615"/>
    <mergeCell ref="A2616:B2616"/>
    <mergeCell ref="A2617:B2617"/>
    <mergeCell ref="A2618:B2618"/>
    <mergeCell ref="A2619:B2619"/>
    <mergeCell ref="A2620:B2620"/>
    <mergeCell ref="A2603:B2603"/>
    <mergeCell ref="A2604:B2604"/>
    <mergeCell ref="A2605:B2605"/>
    <mergeCell ref="A2606:B2606"/>
    <mergeCell ref="A2607:B2607"/>
    <mergeCell ref="A2608:B2608"/>
    <mergeCell ref="A2609:B2609"/>
    <mergeCell ref="A2610:B2610"/>
    <mergeCell ref="A2611:B2611"/>
    <mergeCell ref="A2594:B2594"/>
    <mergeCell ref="A2595:B2595"/>
    <mergeCell ref="A2596:B2596"/>
    <mergeCell ref="A2597:B2597"/>
    <mergeCell ref="A2598:B2598"/>
    <mergeCell ref="A2599:B2599"/>
    <mergeCell ref="A2600:B2600"/>
    <mergeCell ref="A2601:B2601"/>
    <mergeCell ref="A2602:B2602"/>
    <mergeCell ref="A2585:B2585"/>
    <mergeCell ref="A2586:B2586"/>
    <mergeCell ref="A2587:B2587"/>
    <mergeCell ref="A2588:B2588"/>
    <mergeCell ref="A2589:B2589"/>
    <mergeCell ref="A2590:B2590"/>
    <mergeCell ref="A2591:B2591"/>
    <mergeCell ref="A2592:B2592"/>
    <mergeCell ref="A2593:B2593"/>
    <mergeCell ref="A2648:B2648"/>
    <mergeCell ref="A2649:B2649"/>
    <mergeCell ref="A2650:B2650"/>
    <mergeCell ref="A2651:B2651"/>
    <mergeCell ref="A2652:B2652"/>
    <mergeCell ref="A2653:B2653"/>
    <mergeCell ref="A2654:B2654"/>
    <mergeCell ref="A2655:B2655"/>
    <mergeCell ref="A2656:B2656"/>
    <mergeCell ref="A2639:B2639"/>
    <mergeCell ref="A2640:B2640"/>
    <mergeCell ref="A2641:B2641"/>
    <mergeCell ref="A2642:B2642"/>
    <mergeCell ref="A2643:B2643"/>
    <mergeCell ref="A2644:B2644"/>
    <mergeCell ref="A2645:B2645"/>
    <mergeCell ref="A2646:B2646"/>
    <mergeCell ref="A2647:B2647"/>
    <mergeCell ref="A2630:B2630"/>
    <mergeCell ref="A2631:B2631"/>
    <mergeCell ref="A2632:B2632"/>
    <mergeCell ref="A2633:B2633"/>
    <mergeCell ref="A2634:B2634"/>
    <mergeCell ref="A2635:B2635"/>
    <mergeCell ref="A2636:B2636"/>
    <mergeCell ref="A2637:B2637"/>
    <mergeCell ref="A2638:B2638"/>
    <mergeCell ref="A2621:B2621"/>
    <mergeCell ref="A2622:B2622"/>
    <mergeCell ref="A2623:B2623"/>
    <mergeCell ref="A2624:B2624"/>
    <mergeCell ref="A2625:B2625"/>
    <mergeCell ref="A2626:B2626"/>
    <mergeCell ref="A2627:B2627"/>
    <mergeCell ref="A2628:B2628"/>
    <mergeCell ref="A2629:B2629"/>
    <mergeCell ref="A2684:B2684"/>
    <mergeCell ref="A2685:B2685"/>
    <mergeCell ref="A2686:B2686"/>
    <mergeCell ref="A2687:B2687"/>
    <mergeCell ref="A2688:B2688"/>
    <mergeCell ref="A2689:B2689"/>
    <mergeCell ref="A2690:B2690"/>
    <mergeCell ref="A2691:B2691"/>
    <mergeCell ref="A2692:B2692"/>
    <mergeCell ref="A2675:B2675"/>
    <mergeCell ref="A2676:B2676"/>
    <mergeCell ref="A2677:B2677"/>
    <mergeCell ref="A2678:B2678"/>
    <mergeCell ref="A2679:B2679"/>
    <mergeCell ref="A2680:B2680"/>
    <mergeCell ref="A2681:B2681"/>
    <mergeCell ref="A2682:B2682"/>
    <mergeCell ref="A2683:B2683"/>
    <mergeCell ref="A2666:B2666"/>
    <mergeCell ref="A2667:B2667"/>
    <mergeCell ref="A2668:B2668"/>
    <mergeCell ref="A2669:B2669"/>
    <mergeCell ref="A2670:B2670"/>
    <mergeCell ref="A2671:B2671"/>
    <mergeCell ref="A2672:B2672"/>
    <mergeCell ref="A2673:B2673"/>
    <mergeCell ref="A2674:B2674"/>
    <mergeCell ref="A2657:B2657"/>
    <mergeCell ref="A2658:B2658"/>
    <mergeCell ref="A2659:B2659"/>
    <mergeCell ref="A2660:B2660"/>
    <mergeCell ref="A2661:B2661"/>
    <mergeCell ref="A2662:B2662"/>
    <mergeCell ref="A2663:B2663"/>
    <mergeCell ref="A2664:B2664"/>
    <mergeCell ref="A2665:B2665"/>
    <mergeCell ref="A2720:B2720"/>
    <mergeCell ref="A2721:B2721"/>
    <mergeCell ref="A2722:B2722"/>
    <mergeCell ref="A2723:B2723"/>
    <mergeCell ref="A2724:B2724"/>
    <mergeCell ref="A2725:B2725"/>
    <mergeCell ref="A2726:B2726"/>
    <mergeCell ref="A2727:B2727"/>
    <mergeCell ref="A2728:B2728"/>
    <mergeCell ref="A2711:B2711"/>
    <mergeCell ref="A2712:B2712"/>
    <mergeCell ref="A2713:B2713"/>
    <mergeCell ref="A2714:B2714"/>
    <mergeCell ref="A2715:B2715"/>
    <mergeCell ref="A2716:B2716"/>
    <mergeCell ref="A2717:B2717"/>
    <mergeCell ref="A2718:B2718"/>
    <mergeCell ref="A2719:B2719"/>
    <mergeCell ref="A2702:B2702"/>
    <mergeCell ref="A2703:B2703"/>
    <mergeCell ref="A2704:B2704"/>
    <mergeCell ref="A2705:B2705"/>
    <mergeCell ref="A2706:B2706"/>
    <mergeCell ref="A2707:B2707"/>
    <mergeCell ref="A2708:B2708"/>
    <mergeCell ref="A2709:B2709"/>
    <mergeCell ref="A2710:B2710"/>
    <mergeCell ref="A2693:B2693"/>
    <mergeCell ref="A2694:B2694"/>
    <mergeCell ref="A2695:B2695"/>
    <mergeCell ref="A2696:B2696"/>
    <mergeCell ref="A2697:B2697"/>
    <mergeCell ref="A2698:B2698"/>
    <mergeCell ref="A2699:B2699"/>
    <mergeCell ref="A2700:B2700"/>
    <mergeCell ref="A2701:B2701"/>
    <mergeCell ref="A2756:B2756"/>
    <mergeCell ref="A2757:B2757"/>
    <mergeCell ref="A2758:B2758"/>
    <mergeCell ref="A2759:B2759"/>
    <mergeCell ref="A2760:B2760"/>
    <mergeCell ref="A2761:B2761"/>
    <mergeCell ref="A2762:B2762"/>
    <mergeCell ref="A2763:B2763"/>
    <mergeCell ref="A2764:B2764"/>
    <mergeCell ref="A2747:B2747"/>
    <mergeCell ref="A2748:B2748"/>
    <mergeCell ref="A2749:B2749"/>
    <mergeCell ref="A2750:B2750"/>
    <mergeCell ref="A2751:B2751"/>
    <mergeCell ref="A2752:B2752"/>
    <mergeCell ref="A2753:B2753"/>
    <mergeCell ref="A2754:B2754"/>
    <mergeCell ref="A2755:B2755"/>
    <mergeCell ref="A2738:B2738"/>
    <mergeCell ref="A2739:B2739"/>
    <mergeCell ref="A2740:B2740"/>
    <mergeCell ref="A2741:B2741"/>
    <mergeCell ref="A2742:B2742"/>
    <mergeCell ref="A2743:B2743"/>
    <mergeCell ref="A2744:B2744"/>
    <mergeCell ref="A2745:B2745"/>
    <mergeCell ref="A2746:B2746"/>
    <mergeCell ref="A2729:B2729"/>
    <mergeCell ref="A2730:B2730"/>
    <mergeCell ref="A2731:B2731"/>
    <mergeCell ref="A2732:B2732"/>
    <mergeCell ref="A2733:B2733"/>
    <mergeCell ref="A2734:B2734"/>
    <mergeCell ref="A2735:B2735"/>
    <mergeCell ref="A2736:B2736"/>
    <mergeCell ref="A2737:B2737"/>
    <mergeCell ref="A2792:B2792"/>
    <mergeCell ref="A2793:B2793"/>
    <mergeCell ref="A2794:B2794"/>
    <mergeCell ref="A2795:B2795"/>
    <mergeCell ref="A2796:B2796"/>
    <mergeCell ref="A2797:B2797"/>
    <mergeCell ref="A2798:B2798"/>
    <mergeCell ref="A2799:B2799"/>
    <mergeCell ref="A2800:B2800"/>
    <mergeCell ref="A2783:B2783"/>
    <mergeCell ref="A2784:B2784"/>
    <mergeCell ref="A2785:B2785"/>
    <mergeCell ref="A2786:B2786"/>
    <mergeCell ref="A2787:B2787"/>
    <mergeCell ref="A2788:B2788"/>
    <mergeCell ref="A2789:B2789"/>
    <mergeCell ref="A2790:B2790"/>
    <mergeCell ref="A2791:B2791"/>
    <mergeCell ref="A2774:B2774"/>
    <mergeCell ref="A2775:B2775"/>
    <mergeCell ref="A2776:B2776"/>
    <mergeCell ref="A2777:B2777"/>
    <mergeCell ref="A2778:B2778"/>
    <mergeCell ref="A2779:B2779"/>
    <mergeCell ref="A2780:B2780"/>
    <mergeCell ref="A2781:B2781"/>
    <mergeCell ref="A2782:B2782"/>
    <mergeCell ref="A2765:B2765"/>
    <mergeCell ref="A2766:B2766"/>
    <mergeCell ref="A2767:B2767"/>
    <mergeCell ref="A2768:B2768"/>
    <mergeCell ref="A2769:B2769"/>
    <mergeCell ref="A2770:B2770"/>
    <mergeCell ref="A2771:B2771"/>
    <mergeCell ref="A2772:B2772"/>
    <mergeCell ref="A2773:B2773"/>
    <mergeCell ref="A2828:B2828"/>
    <mergeCell ref="A2829:B2829"/>
    <mergeCell ref="A2830:B2830"/>
    <mergeCell ref="A2831:B2831"/>
    <mergeCell ref="A2832:B2832"/>
    <mergeCell ref="A2833:B2833"/>
    <mergeCell ref="A2834:B2834"/>
    <mergeCell ref="A2835:B2835"/>
    <mergeCell ref="A2836:B2836"/>
    <mergeCell ref="A2819:B2819"/>
    <mergeCell ref="A2820:B2820"/>
    <mergeCell ref="A2821:B2821"/>
    <mergeCell ref="A2822:B2822"/>
    <mergeCell ref="A2823:B2823"/>
    <mergeCell ref="A2824:B2824"/>
    <mergeCell ref="A2825:B2825"/>
    <mergeCell ref="A2826:B2826"/>
    <mergeCell ref="A2827:B2827"/>
    <mergeCell ref="A2810:B2810"/>
    <mergeCell ref="A2811:B2811"/>
    <mergeCell ref="A2812:B2812"/>
    <mergeCell ref="A2813:B2813"/>
    <mergeCell ref="A2814:B2814"/>
    <mergeCell ref="A2815:B2815"/>
    <mergeCell ref="A2816:B2816"/>
    <mergeCell ref="A2817:B2817"/>
    <mergeCell ref="A2818:B2818"/>
    <mergeCell ref="A2801:B2801"/>
    <mergeCell ref="A2802:B2802"/>
    <mergeCell ref="A2803:B2803"/>
    <mergeCell ref="A2804:B2804"/>
    <mergeCell ref="A2805:B2805"/>
    <mergeCell ref="A2806:B2806"/>
    <mergeCell ref="A2807:B2807"/>
    <mergeCell ref="A2808:B2808"/>
    <mergeCell ref="A2809:B2809"/>
    <mergeCell ref="A2864:B2864"/>
    <mergeCell ref="A2865:B2865"/>
    <mergeCell ref="A2866:B2866"/>
    <mergeCell ref="A2867:B2867"/>
    <mergeCell ref="A2868:B2868"/>
    <mergeCell ref="A2869:B2869"/>
    <mergeCell ref="A2870:B2870"/>
    <mergeCell ref="A2871:B2871"/>
    <mergeCell ref="A2872:B2872"/>
    <mergeCell ref="A2855:B2855"/>
    <mergeCell ref="A2856:B2856"/>
    <mergeCell ref="A2857:B2857"/>
    <mergeCell ref="A2858:B2858"/>
    <mergeCell ref="A2859:B2859"/>
    <mergeCell ref="A2860:B2860"/>
    <mergeCell ref="A2861:B2861"/>
    <mergeCell ref="A2862:B2862"/>
    <mergeCell ref="A2863:B2863"/>
    <mergeCell ref="A2846:B2846"/>
    <mergeCell ref="A2847:B2847"/>
    <mergeCell ref="A2848:B2848"/>
    <mergeCell ref="A2849:B2849"/>
    <mergeCell ref="A2850:B2850"/>
    <mergeCell ref="A2851:B2851"/>
    <mergeCell ref="A2852:B2852"/>
    <mergeCell ref="A2853:B2853"/>
    <mergeCell ref="A2854:B2854"/>
    <mergeCell ref="A2837:B2837"/>
    <mergeCell ref="A2838:B2838"/>
    <mergeCell ref="A2839:B2839"/>
    <mergeCell ref="A2840:B2840"/>
    <mergeCell ref="A2841:B2841"/>
    <mergeCell ref="A2842:B2842"/>
    <mergeCell ref="A2843:B2843"/>
    <mergeCell ref="A2844:B2844"/>
    <mergeCell ref="A2845:B2845"/>
    <mergeCell ref="A2900:B2900"/>
    <mergeCell ref="A2901:B2901"/>
    <mergeCell ref="A2902:B2902"/>
    <mergeCell ref="A2903:B2903"/>
    <mergeCell ref="A2904:B2904"/>
    <mergeCell ref="A2905:B2905"/>
    <mergeCell ref="A2906:B2906"/>
    <mergeCell ref="A2907:B2907"/>
    <mergeCell ref="A2908:B2908"/>
    <mergeCell ref="A2891:B2891"/>
    <mergeCell ref="A2892:B2892"/>
    <mergeCell ref="A2893:B2893"/>
    <mergeCell ref="A2894:B2894"/>
    <mergeCell ref="A2895:B2895"/>
    <mergeCell ref="A2896:B2896"/>
    <mergeCell ref="A2897:B2897"/>
    <mergeCell ref="A2898:B2898"/>
    <mergeCell ref="A2899:B2899"/>
    <mergeCell ref="A2882:B2882"/>
    <mergeCell ref="A2883:B2883"/>
    <mergeCell ref="A2884:B2884"/>
    <mergeCell ref="A2885:B2885"/>
    <mergeCell ref="A2886:B2886"/>
    <mergeCell ref="A2887:B2887"/>
    <mergeCell ref="A2888:B2888"/>
    <mergeCell ref="A2889:B2889"/>
    <mergeCell ref="A2890:B2890"/>
    <mergeCell ref="A2873:B2873"/>
    <mergeCell ref="A2874:B2874"/>
    <mergeCell ref="A2875:B2875"/>
    <mergeCell ref="A2876:B2876"/>
    <mergeCell ref="A2877:B2877"/>
    <mergeCell ref="A2878:B2878"/>
    <mergeCell ref="A2879:B2879"/>
    <mergeCell ref="A2880:B2880"/>
    <mergeCell ref="A2881:B2881"/>
    <mergeCell ref="A2936:B2936"/>
    <mergeCell ref="A2937:B2937"/>
    <mergeCell ref="A2938:B2938"/>
    <mergeCell ref="A2939:B2939"/>
    <mergeCell ref="A2940:B2940"/>
    <mergeCell ref="A2941:B2941"/>
    <mergeCell ref="A2942:B2942"/>
    <mergeCell ref="A2943:B2943"/>
    <mergeCell ref="A2944:B2944"/>
    <mergeCell ref="A2927:B2927"/>
    <mergeCell ref="A2928:B2928"/>
    <mergeCell ref="A2929:B2929"/>
    <mergeCell ref="A2930:B2930"/>
    <mergeCell ref="A2931:B2931"/>
    <mergeCell ref="A2932:B2932"/>
    <mergeCell ref="A2933:B2933"/>
    <mergeCell ref="A2934:B2934"/>
    <mergeCell ref="A2935:B2935"/>
    <mergeCell ref="A2918:B2918"/>
    <mergeCell ref="A2919:B2919"/>
    <mergeCell ref="A2920:B2920"/>
    <mergeCell ref="A2921:B2921"/>
    <mergeCell ref="A2922:B2922"/>
    <mergeCell ref="A2923:B2923"/>
    <mergeCell ref="A2924:B2924"/>
    <mergeCell ref="A2925:B2925"/>
    <mergeCell ref="A2926:B2926"/>
    <mergeCell ref="A2909:B2909"/>
    <mergeCell ref="A2910:B2910"/>
    <mergeCell ref="A2911:B2911"/>
    <mergeCell ref="A2912:B2912"/>
    <mergeCell ref="A2913:B2913"/>
    <mergeCell ref="A2914:B2914"/>
    <mergeCell ref="A2915:B2915"/>
    <mergeCell ref="A2916:B2916"/>
    <mergeCell ref="A2917:B2917"/>
    <mergeCell ref="A2972:B2972"/>
    <mergeCell ref="A2973:B2973"/>
    <mergeCell ref="A2974:B2974"/>
    <mergeCell ref="A2975:B2975"/>
    <mergeCell ref="A2976:B2976"/>
    <mergeCell ref="A2977:B2977"/>
    <mergeCell ref="A2978:B2978"/>
    <mergeCell ref="A2979:B2979"/>
    <mergeCell ref="A2980:B2980"/>
    <mergeCell ref="A2963:B2963"/>
    <mergeCell ref="A2964:B2964"/>
    <mergeCell ref="A2965:B2965"/>
    <mergeCell ref="A2966:B2966"/>
    <mergeCell ref="A2967:B2967"/>
    <mergeCell ref="A2968:B2968"/>
    <mergeCell ref="A2969:B2969"/>
    <mergeCell ref="A2970:B2970"/>
    <mergeCell ref="A2971:B2971"/>
    <mergeCell ref="A2954:B2954"/>
    <mergeCell ref="A2955:B2955"/>
    <mergeCell ref="A2956:B2956"/>
    <mergeCell ref="A2957:B2957"/>
    <mergeCell ref="A2958:B2958"/>
    <mergeCell ref="A2959:B2959"/>
    <mergeCell ref="A2960:B2960"/>
    <mergeCell ref="A2961:B2961"/>
    <mergeCell ref="A2962:B2962"/>
    <mergeCell ref="A2945:B2945"/>
    <mergeCell ref="A2946:B2946"/>
    <mergeCell ref="A2947:B2947"/>
    <mergeCell ref="A2948:B2948"/>
    <mergeCell ref="A2949:B2949"/>
    <mergeCell ref="A2950:B2950"/>
    <mergeCell ref="A2951:B2951"/>
    <mergeCell ref="A2952:B2952"/>
    <mergeCell ref="A2953:B2953"/>
    <mergeCell ref="A3008:B3008"/>
    <mergeCell ref="A3009:B3009"/>
    <mergeCell ref="A3010:B3010"/>
    <mergeCell ref="A3011:B3011"/>
    <mergeCell ref="A3012:B3012"/>
    <mergeCell ref="A3013:B3013"/>
    <mergeCell ref="A3014:B3014"/>
    <mergeCell ref="A3015:B3015"/>
    <mergeCell ref="A3016:B3016"/>
    <mergeCell ref="A2999:B2999"/>
    <mergeCell ref="A3000:B3000"/>
    <mergeCell ref="A3001:B3001"/>
    <mergeCell ref="A3002:B3002"/>
    <mergeCell ref="A3003:B3003"/>
    <mergeCell ref="A3004:B3004"/>
    <mergeCell ref="A3005:B3005"/>
    <mergeCell ref="A3006:B3006"/>
    <mergeCell ref="A3007:B3007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2981:B2981"/>
    <mergeCell ref="A2982:B2982"/>
    <mergeCell ref="A2983:B2983"/>
    <mergeCell ref="A2984:B2984"/>
    <mergeCell ref="A2985:B2985"/>
    <mergeCell ref="A2986:B2986"/>
    <mergeCell ref="A2987:B2987"/>
    <mergeCell ref="A2988:B2988"/>
    <mergeCell ref="A2989:B298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35:B3035"/>
    <mergeCell ref="A3036:B3036"/>
    <mergeCell ref="A3037:B3037"/>
    <mergeCell ref="A3038:B3038"/>
    <mergeCell ref="A3039:B3039"/>
    <mergeCell ref="A3040:B3040"/>
    <mergeCell ref="A3041:B3041"/>
    <mergeCell ref="A3042:B3042"/>
    <mergeCell ref="A3043:B3043"/>
    <mergeCell ref="A3026:B3026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80:B3080"/>
    <mergeCell ref="A3081:B3081"/>
    <mergeCell ref="A3082:B3082"/>
    <mergeCell ref="A3083:B3083"/>
    <mergeCell ref="A3084:B3084"/>
    <mergeCell ref="A3085:B3085"/>
    <mergeCell ref="A3086:B3086"/>
    <mergeCell ref="A3087:B3087"/>
    <mergeCell ref="A3088:B3088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62:B3062"/>
    <mergeCell ref="A3063:B3063"/>
    <mergeCell ref="A3064:B3064"/>
    <mergeCell ref="A3065:B3065"/>
    <mergeCell ref="A3066:B3066"/>
    <mergeCell ref="A3067:B3067"/>
    <mergeCell ref="A3068:B3068"/>
    <mergeCell ref="A3069:B3069"/>
    <mergeCell ref="A3070:B3070"/>
    <mergeCell ref="A3053:B3053"/>
    <mergeCell ref="A3054:B3054"/>
    <mergeCell ref="A3055:B3055"/>
    <mergeCell ref="A3056:B3056"/>
    <mergeCell ref="A3057:B3057"/>
    <mergeCell ref="A3058:B3058"/>
    <mergeCell ref="A3059:B3059"/>
    <mergeCell ref="A3060:B3060"/>
    <mergeCell ref="A3061:B3061"/>
    <mergeCell ref="A3116:B3116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07:B3107"/>
    <mergeCell ref="A3108:B3108"/>
    <mergeCell ref="A3109:B3109"/>
    <mergeCell ref="A3110:B3110"/>
    <mergeCell ref="A3111:B3111"/>
    <mergeCell ref="A3112:B3112"/>
    <mergeCell ref="A3113:B3113"/>
    <mergeCell ref="A3114:B3114"/>
    <mergeCell ref="A3115:B3115"/>
    <mergeCell ref="A3098:B3098"/>
    <mergeCell ref="A3099:B3099"/>
    <mergeCell ref="A3100:B3100"/>
    <mergeCell ref="A3101:B3101"/>
    <mergeCell ref="A3102:B3102"/>
    <mergeCell ref="A3103:B3103"/>
    <mergeCell ref="A3104:B3104"/>
    <mergeCell ref="A3105:B3105"/>
    <mergeCell ref="A3106:B3106"/>
    <mergeCell ref="A3089:B3089"/>
    <mergeCell ref="A3090:B3090"/>
    <mergeCell ref="A3091:B3091"/>
    <mergeCell ref="A3092:B3092"/>
    <mergeCell ref="A3093:B3093"/>
    <mergeCell ref="A3094:B3094"/>
    <mergeCell ref="A3095:B3095"/>
    <mergeCell ref="A3096:B3096"/>
    <mergeCell ref="A3097:B3097"/>
    <mergeCell ref="A3152:B3152"/>
    <mergeCell ref="A3153:B3153"/>
    <mergeCell ref="A3154:B3154"/>
    <mergeCell ref="A3155:B3155"/>
    <mergeCell ref="A3156:B3156"/>
    <mergeCell ref="A3157:B3157"/>
    <mergeCell ref="A3158:B3158"/>
    <mergeCell ref="A3159:B3159"/>
    <mergeCell ref="A3160:B3160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51:B3151"/>
    <mergeCell ref="A3134:B3134"/>
    <mergeCell ref="A3135:B3135"/>
    <mergeCell ref="A3136:B3136"/>
    <mergeCell ref="A3137:B3137"/>
    <mergeCell ref="A3138:B3138"/>
    <mergeCell ref="A3139:B3139"/>
    <mergeCell ref="A3140:B3140"/>
    <mergeCell ref="A3141:B3141"/>
    <mergeCell ref="A3142:B3142"/>
    <mergeCell ref="A3125:B3125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88:B3188"/>
    <mergeCell ref="A3189:B3189"/>
    <mergeCell ref="A3190:B3190"/>
    <mergeCell ref="A3191:B3191"/>
    <mergeCell ref="A3192:B3192"/>
    <mergeCell ref="A3193:B3193"/>
    <mergeCell ref="A3194:B3194"/>
    <mergeCell ref="A3195:B3195"/>
    <mergeCell ref="A3196:B3196"/>
    <mergeCell ref="A3179:B3179"/>
    <mergeCell ref="A3180:B3180"/>
    <mergeCell ref="A3181:B3181"/>
    <mergeCell ref="A3182:B3182"/>
    <mergeCell ref="A3183:B3183"/>
    <mergeCell ref="A3184:B3184"/>
    <mergeCell ref="A3185:B3185"/>
    <mergeCell ref="A3186:B3186"/>
    <mergeCell ref="A3187:B3187"/>
    <mergeCell ref="A3170:B3170"/>
    <mergeCell ref="A3171:B3171"/>
    <mergeCell ref="A3172:B3172"/>
    <mergeCell ref="A3173:B3173"/>
    <mergeCell ref="A3174:B3174"/>
    <mergeCell ref="A3175:B3175"/>
    <mergeCell ref="A3176:B3176"/>
    <mergeCell ref="A3177:B3177"/>
    <mergeCell ref="A3178:B3178"/>
    <mergeCell ref="A3161:B3161"/>
    <mergeCell ref="A3162:B3162"/>
    <mergeCell ref="A3163:B3163"/>
    <mergeCell ref="A3164:B3164"/>
    <mergeCell ref="A3165:B3165"/>
    <mergeCell ref="A3166:B3166"/>
    <mergeCell ref="A3167:B3167"/>
    <mergeCell ref="A3168:B3168"/>
    <mergeCell ref="A3169:B3169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15:B3215"/>
    <mergeCell ref="A3216:B3216"/>
    <mergeCell ref="A3217:B3217"/>
    <mergeCell ref="A3218:B3218"/>
    <mergeCell ref="A3219:B3219"/>
    <mergeCell ref="A3220:B3220"/>
    <mergeCell ref="A3221:B3221"/>
    <mergeCell ref="A3222:B3222"/>
    <mergeCell ref="A3223:B3223"/>
    <mergeCell ref="A3206:B3206"/>
    <mergeCell ref="A3207:B3207"/>
    <mergeCell ref="A3208:B3208"/>
    <mergeCell ref="A3209:B3209"/>
    <mergeCell ref="A3210:B3210"/>
    <mergeCell ref="A3211:B3211"/>
    <mergeCell ref="A3212:B3212"/>
    <mergeCell ref="A3213:B3213"/>
    <mergeCell ref="A3214:B3214"/>
    <mergeCell ref="A3197:B3197"/>
    <mergeCell ref="A3198:B3198"/>
    <mergeCell ref="A3199:B3199"/>
    <mergeCell ref="A3200:B3200"/>
    <mergeCell ref="A3201:B3201"/>
    <mergeCell ref="A3202:B3202"/>
    <mergeCell ref="A3203:B3203"/>
    <mergeCell ref="A3204:B3204"/>
    <mergeCell ref="A3205:B3205"/>
    <mergeCell ref="A3260:B3260"/>
    <mergeCell ref="A3261:B3261"/>
    <mergeCell ref="A3262:B3262"/>
    <mergeCell ref="A3263:B3263"/>
    <mergeCell ref="A3264:B3264"/>
    <mergeCell ref="A3265:B3265"/>
    <mergeCell ref="A3266:B3266"/>
    <mergeCell ref="A3267:B3267"/>
    <mergeCell ref="A3268:B3268"/>
    <mergeCell ref="A3251:B3251"/>
    <mergeCell ref="A3252:B3252"/>
    <mergeCell ref="A3253:B3253"/>
    <mergeCell ref="A3254:B3254"/>
    <mergeCell ref="A3255:B3255"/>
    <mergeCell ref="A3256:B3256"/>
    <mergeCell ref="A3257:B3257"/>
    <mergeCell ref="A3258:B3258"/>
    <mergeCell ref="A3259:B3259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33:B3233"/>
    <mergeCell ref="A3234:B3234"/>
    <mergeCell ref="A3235:B3235"/>
    <mergeCell ref="A3236:B3236"/>
    <mergeCell ref="A3237:B3237"/>
    <mergeCell ref="A3238:B3238"/>
    <mergeCell ref="A3239:B3239"/>
    <mergeCell ref="A3240:B3240"/>
    <mergeCell ref="A3241:B3241"/>
    <mergeCell ref="A3296:B3296"/>
    <mergeCell ref="A3297:B3297"/>
    <mergeCell ref="A3298:B3298"/>
    <mergeCell ref="A3299:B3299"/>
    <mergeCell ref="A3300:B3300"/>
    <mergeCell ref="A3301:B3301"/>
    <mergeCell ref="A3302:B3302"/>
    <mergeCell ref="A3303:B3303"/>
    <mergeCell ref="A3304:B3304"/>
    <mergeCell ref="A3287:B3287"/>
    <mergeCell ref="A3288:B3288"/>
    <mergeCell ref="A3289:B3289"/>
    <mergeCell ref="A3290:B3290"/>
    <mergeCell ref="A3291:B3291"/>
    <mergeCell ref="A3292:B3292"/>
    <mergeCell ref="A3293:B3293"/>
    <mergeCell ref="A3294:B3294"/>
    <mergeCell ref="A3295:B3295"/>
    <mergeCell ref="A3278:B3278"/>
    <mergeCell ref="A3279:B3279"/>
    <mergeCell ref="A3280:B3280"/>
    <mergeCell ref="A3281:B3281"/>
    <mergeCell ref="A3282:B3282"/>
    <mergeCell ref="A3283:B3283"/>
    <mergeCell ref="A3284:B3284"/>
    <mergeCell ref="A3285:B3285"/>
    <mergeCell ref="A3286:B3286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332:B3332"/>
    <mergeCell ref="A3333:B3333"/>
    <mergeCell ref="A3334:B3334"/>
    <mergeCell ref="A3335:B3335"/>
    <mergeCell ref="A3336:B3336"/>
    <mergeCell ref="A3337:B3337"/>
    <mergeCell ref="A3338:B3338"/>
    <mergeCell ref="A3339:B3339"/>
    <mergeCell ref="A3340:B3340"/>
    <mergeCell ref="A3323:B3323"/>
    <mergeCell ref="A3324:B3324"/>
    <mergeCell ref="A3325:B3325"/>
    <mergeCell ref="A3326:B3326"/>
    <mergeCell ref="A3327:B3327"/>
    <mergeCell ref="A3328:B3328"/>
    <mergeCell ref="A3329:B3329"/>
    <mergeCell ref="A3330:B3330"/>
    <mergeCell ref="A3331:B3331"/>
    <mergeCell ref="A3314:B3314"/>
    <mergeCell ref="A3315:B3315"/>
    <mergeCell ref="A3316:B3316"/>
    <mergeCell ref="A3317:B3317"/>
    <mergeCell ref="A3318:B3318"/>
    <mergeCell ref="A3319:B3319"/>
    <mergeCell ref="A3320:B3320"/>
    <mergeCell ref="A3321:B3321"/>
    <mergeCell ref="A3322:B3322"/>
    <mergeCell ref="A3305:B3305"/>
    <mergeCell ref="A3306:B3306"/>
    <mergeCell ref="A3307:B3307"/>
    <mergeCell ref="A3308:B3308"/>
    <mergeCell ref="A3309:B3309"/>
    <mergeCell ref="A3310:B3310"/>
    <mergeCell ref="A3311:B3311"/>
    <mergeCell ref="A3312:B3312"/>
    <mergeCell ref="A3313:B3313"/>
    <mergeCell ref="A300:B300"/>
    <mergeCell ref="A301:B301"/>
    <mergeCell ref="A302:B302"/>
    <mergeCell ref="A303:B303"/>
    <mergeCell ref="A304:B304"/>
    <mergeCell ref="A305:B305"/>
    <mergeCell ref="A306:B306"/>
    <mergeCell ref="A307:B307"/>
    <mergeCell ref="A308:B308"/>
    <mergeCell ref="A291:B291"/>
    <mergeCell ref="A292:B292"/>
    <mergeCell ref="A293:B293"/>
    <mergeCell ref="A294:B294"/>
    <mergeCell ref="A295:B295"/>
    <mergeCell ref="A296:B296"/>
    <mergeCell ref="A297:B297"/>
    <mergeCell ref="A298:B298"/>
    <mergeCell ref="A299:B299"/>
    <mergeCell ref="A282:B282"/>
    <mergeCell ref="A283:B283"/>
    <mergeCell ref="A284:B284"/>
    <mergeCell ref="A285:B285"/>
    <mergeCell ref="A286:B286"/>
    <mergeCell ref="A287:B287"/>
    <mergeCell ref="A288:B288"/>
    <mergeCell ref="A289:B289"/>
    <mergeCell ref="A290:B290"/>
    <mergeCell ref="A274:B274"/>
    <mergeCell ref="A275:B275"/>
    <mergeCell ref="A276:B276"/>
    <mergeCell ref="A277:B277"/>
    <mergeCell ref="A278:B278"/>
    <mergeCell ref="A279:B279"/>
    <mergeCell ref="A280:B280"/>
    <mergeCell ref="A281:B281"/>
    <mergeCell ref="A336:B336"/>
    <mergeCell ref="A337:B337"/>
    <mergeCell ref="A338:B338"/>
    <mergeCell ref="A339:B339"/>
    <mergeCell ref="A340:B340"/>
    <mergeCell ref="A341:B341"/>
    <mergeCell ref="A342:B342"/>
    <mergeCell ref="A343:B343"/>
    <mergeCell ref="A344:B344"/>
    <mergeCell ref="A327:B327"/>
    <mergeCell ref="A328:B328"/>
    <mergeCell ref="A329:B329"/>
    <mergeCell ref="A330:B330"/>
    <mergeCell ref="A331:B331"/>
    <mergeCell ref="A332:B332"/>
    <mergeCell ref="A333:B333"/>
    <mergeCell ref="A334:B334"/>
    <mergeCell ref="A335:B335"/>
    <mergeCell ref="A318:B318"/>
    <mergeCell ref="A319:B319"/>
    <mergeCell ref="A320:B320"/>
    <mergeCell ref="A321:B321"/>
    <mergeCell ref="A322:B322"/>
    <mergeCell ref="A323:B323"/>
    <mergeCell ref="A324:B324"/>
    <mergeCell ref="A325:B325"/>
    <mergeCell ref="A326:B326"/>
    <mergeCell ref="A309:B309"/>
    <mergeCell ref="A310:B310"/>
    <mergeCell ref="A311:B311"/>
    <mergeCell ref="A312:B312"/>
    <mergeCell ref="A313:B313"/>
    <mergeCell ref="A314:B314"/>
    <mergeCell ref="A315:B315"/>
    <mergeCell ref="A316:B316"/>
    <mergeCell ref="A317:B317"/>
    <mergeCell ref="A372:B372"/>
    <mergeCell ref="A373:B373"/>
    <mergeCell ref="A374:B374"/>
    <mergeCell ref="A375:B375"/>
    <mergeCell ref="A376:B376"/>
    <mergeCell ref="A377:B377"/>
    <mergeCell ref="A378:B378"/>
    <mergeCell ref="A379:B379"/>
    <mergeCell ref="A380:B380"/>
    <mergeCell ref="A363:B363"/>
    <mergeCell ref="A364:B364"/>
    <mergeCell ref="A365:B365"/>
    <mergeCell ref="A366:B366"/>
    <mergeCell ref="A367:B367"/>
    <mergeCell ref="A368:B368"/>
    <mergeCell ref="A369:B369"/>
    <mergeCell ref="A370:B370"/>
    <mergeCell ref="A371:B371"/>
    <mergeCell ref="A354:B354"/>
    <mergeCell ref="A355:B355"/>
    <mergeCell ref="A356:B356"/>
    <mergeCell ref="A357:B357"/>
    <mergeCell ref="A358:B358"/>
    <mergeCell ref="A359:B359"/>
    <mergeCell ref="A360:B360"/>
    <mergeCell ref="A361:B361"/>
    <mergeCell ref="A362:B362"/>
    <mergeCell ref="A345:B345"/>
    <mergeCell ref="A346:B346"/>
    <mergeCell ref="A347:B347"/>
    <mergeCell ref="A348:B348"/>
    <mergeCell ref="A349:B349"/>
    <mergeCell ref="A350:B350"/>
    <mergeCell ref="A351:B351"/>
    <mergeCell ref="A352:B352"/>
    <mergeCell ref="A353:B353"/>
    <mergeCell ref="A408:B408"/>
    <mergeCell ref="A409:B409"/>
    <mergeCell ref="A410:B410"/>
    <mergeCell ref="A411:B411"/>
    <mergeCell ref="A412:B412"/>
    <mergeCell ref="A413:B413"/>
    <mergeCell ref="A414:B414"/>
    <mergeCell ref="A415:B415"/>
    <mergeCell ref="A416:B416"/>
    <mergeCell ref="A399:B399"/>
    <mergeCell ref="A400:B400"/>
    <mergeCell ref="A401:B401"/>
    <mergeCell ref="A402:B402"/>
    <mergeCell ref="A403:B403"/>
    <mergeCell ref="A404:B404"/>
    <mergeCell ref="A405:B405"/>
    <mergeCell ref="A406:B406"/>
    <mergeCell ref="A407:B407"/>
    <mergeCell ref="A390:B390"/>
    <mergeCell ref="A391:B391"/>
    <mergeCell ref="A392:B392"/>
    <mergeCell ref="A393:B393"/>
    <mergeCell ref="A394:B394"/>
    <mergeCell ref="A395:B395"/>
    <mergeCell ref="A396:B396"/>
    <mergeCell ref="A397:B397"/>
    <mergeCell ref="A398:B398"/>
    <mergeCell ref="A381:B381"/>
    <mergeCell ref="A382:B382"/>
    <mergeCell ref="A383:B383"/>
    <mergeCell ref="A384:B384"/>
    <mergeCell ref="A385:B385"/>
    <mergeCell ref="A386:B386"/>
    <mergeCell ref="A387:B387"/>
    <mergeCell ref="A388:B388"/>
    <mergeCell ref="A389:B389"/>
    <mergeCell ref="A444:B444"/>
    <mergeCell ref="A445:B445"/>
    <mergeCell ref="A446:B446"/>
    <mergeCell ref="A447:B447"/>
    <mergeCell ref="A448:B448"/>
    <mergeCell ref="A449:B449"/>
    <mergeCell ref="A450:B450"/>
    <mergeCell ref="A451:B451"/>
    <mergeCell ref="A452:B452"/>
    <mergeCell ref="A435:B435"/>
    <mergeCell ref="A436:B436"/>
    <mergeCell ref="A437:B437"/>
    <mergeCell ref="A438:B438"/>
    <mergeCell ref="A439:B439"/>
    <mergeCell ref="A440:B440"/>
    <mergeCell ref="A441:B441"/>
    <mergeCell ref="A442:B442"/>
    <mergeCell ref="A443:B443"/>
    <mergeCell ref="A426:B426"/>
    <mergeCell ref="A427:B427"/>
    <mergeCell ref="A428:B428"/>
    <mergeCell ref="A429:B429"/>
    <mergeCell ref="A430:B430"/>
    <mergeCell ref="A431:B431"/>
    <mergeCell ref="A432:B432"/>
    <mergeCell ref="A433:B433"/>
    <mergeCell ref="A434:B434"/>
    <mergeCell ref="A417:B417"/>
    <mergeCell ref="A418:B418"/>
    <mergeCell ref="A419:B419"/>
    <mergeCell ref="A420:B420"/>
    <mergeCell ref="A421:B421"/>
    <mergeCell ref="A422:B422"/>
    <mergeCell ref="A423:B423"/>
    <mergeCell ref="A424:B424"/>
    <mergeCell ref="A425:B425"/>
    <mergeCell ref="A480:B480"/>
    <mergeCell ref="A481:B481"/>
    <mergeCell ref="A482:B482"/>
    <mergeCell ref="A483:B483"/>
    <mergeCell ref="A484:B484"/>
    <mergeCell ref="A485:B485"/>
    <mergeCell ref="A486:B486"/>
    <mergeCell ref="A487:B487"/>
    <mergeCell ref="A488:B488"/>
    <mergeCell ref="A471:B471"/>
    <mergeCell ref="A472:B472"/>
    <mergeCell ref="A473:B473"/>
    <mergeCell ref="A474:B474"/>
    <mergeCell ref="A475:B475"/>
    <mergeCell ref="A476:B476"/>
    <mergeCell ref="A477:B477"/>
    <mergeCell ref="A478:B478"/>
    <mergeCell ref="A479:B479"/>
    <mergeCell ref="A462:B462"/>
    <mergeCell ref="A463:B463"/>
    <mergeCell ref="A464:B464"/>
    <mergeCell ref="A465:B465"/>
    <mergeCell ref="A466:B466"/>
    <mergeCell ref="A467:B467"/>
    <mergeCell ref="A468:B468"/>
    <mergeCell ref="A469:B469"/>
    <mergeCell ref="A470:B470"/>
    <mergeCell ref="A453:B453"/>
    <mergeCell ref="A454:B454"/>
    <mergeCell ref="A455:B455"/>
    <mergeCell ref="A456:B456"/>
    <mergeCell ref="A457:B457"/>
    <mergeCell ref="A458:B458"/>
    <mergeCell ref="A459:B459"/>
    <mergeCell ref="A460:B460"/>
    <mergeCell ref="A461:B461"/>
    <mergeCell ref="A516:B516"/>
    <mergeCell ref="A517:B517"/>
    <mergeCell ref="A518:B518"/>
    <mergeCell ref="A519:B519"/>
    <mergeCell ref="A520:B520"/>
    <mergeCell ref="A521:B521"/>
    <mergeCell ref="A522:B522"/>
    <mergeCell ref="A523:B523"/>
    <mergeCell ref="A524:B524"/>
    <mergeCell ref="A507:B507"/>
    <mergeCell ref="A508:B508"/>
    <mergeCell ref="A509:B509"/>
    <mergeCell ref="A510:B510"/>
    <mergeCell ref="A511:B511"/>
    <mergeCell ref="A512:B512"/>
    <mergeCell ref="A513:B513"/>
    <mergeCell ref="A514:B514"/>
    <mergeCell ref="A515:B515"/>
    <mergeCell ref="A498:B498"/>
    <mergeCell ref="A499:B499"/>
    <mergeCell ref="A500:B500"/>
    <mergeCell ref="A501:B501"/>
    <mergeCell ref="A502:B502"/>
    <mergeCell ref="A503:B503"/>
    <mergeCell ref="A504:B504"/>
    <mergeCell ref="A505:B505"/>
    <mergeCell ref="A506:B506"/>
    <mergeCell ref="A489:B489"/>
    <mergeCell ref="A490:B490"/>
    <mergeCell ref="A491:B491"/>
    <mergeCell ref="A492:B492"/>
    <mergeCell ref="A493:B493"/>
    <mergeCell ref="A494:B494"/>
    <mergeCell ref="A495:B495"/>
    <mergeCell ref="A496:B496"/>
    <mergeCell ref="A497:B497"/>
    <mergeCell ref="A552:B552"/>
    <mergeCell ref="A553:B553"/>
    <mergeCell ref="A554:B554"/>
    <mergeCell ref="A555:B555"/>
    <mergeCell ref="A556:B556"/>
    <mergeCell ref="A557:B557"/>
    <mergeCell ref="A558:B558"/>
    <mergeCell ref="A559:B559"/>
    <mergeCell ref="A560:B560"/>
    <mergeCell ref="A543:B543"/>
    <mergeCell ref="A544:B544"/>
    <mergeCell ref="A545:B545"/>
    <mergeCell ref="A546:B546"/>
    <mergeCell ref="A547:B547"/>
    <mergeCell ref="A548:B548"/>
    <mergeCell ref="A549:B549"/>
    <mergeCell ref="A550:B550"/>
    <mergeCell ref="A551:B551"/>
    <mergeCell ref="A534:B534"/>
    <mergeCell ref="A535:B535"/>
    <mergeCell ref="A536:B536"/>
    <mergeCell ref="A537:B537"/>
    <mergeCell ref="A538:B538"/>
    <mergeCell ref="A539:B539"/>
    <mergeCell ref="A540:B540"/>
    <mergeCell ref="A541:B541"/>
    <mergeCell ref="A542:B542"/>
    <mergeCell ref="A525:B525"/>
    <mergeCell ref="A526:B526"/>
    <mergeCell ref="A527:B527"/>
    <mergeCell ref="A528:B528"/>
    <mergeCell ref="A529:B529"/>
    <mergeCell ref="A530:B530"/>
    <mergeCell ref="A531:B531"/>
    <mergeCell ref="A532:B532"/>
    <mergeCell ref="A533:B533"/>
    <mergeCell ref="A588:B588"/>
    <mergeCell ref="A589:B589"/>
    <mergeCell ref="A590:B590"/>
    <mergeCell ref="A591:B591"/>
    <mergeCell ref="A592:B592"/>
    <mergeCell ref="A593:B593"/>
    <mergeCell ref="A594:B594"/>
    <mergeCell ref="A595:B595"/>
    <mergeCell ref="A596:B596"/>
    <mergeCell ref="A579:B579"/>
    <mergeCell ref="A580:B580"/>
    <mergeCell ref="A581:B581"/>
    <mergeCell ref="A582:B582"/>
    <mergeCell ref="A583:B583"/>
    <mergeCell ref="A584:B584"/>
    <mergeCell ref="A585:B585"/>
    <mergeCell ref="A586:B586"/>
    <mergeCell ref="A587:B587"/>
    <mergeCell ref="A570:B570"/>
    <mergeCell ref="A571:B571"/>
    <mergeCell ref="A572:B572"/>
    <mergeCell ref="A573:B573"/>
    <mergeCell ref="A574:B574"/>
    <mergeCell ref="A575:B575"/>
    <mergeCell ref="A576:B576"/>
    <mergeCell ref="A577:B577"/>
    <mergeCell ref="A578:B578"/>
    <mergeCell ref="A561:B561"/>
    <mergeCell ref="A562:B562"/>
    <mergeCell ref="A563:B563"/>
    <mergeCell ref="A564:B564"/>
    <mergeCell ref="A565:B565"/>
    <mergeCell ref="A566:B566"/>
    <mergeCell ref="A567:B567"/>
    <mergeCell ref="A568:B568"/>
    <mergeCell ref="A569:B569"/>
    <mergeCell ref="A624:B624"/>
    <mergeCell ref="A625:B625"/>
    <mergeCell ref="A626:B626"/>
    <mergeCell ref="A627:B627"/>
    <mergeCell ref="A628:B628"/>
    <mergeCell ref="A629:B629"/>
    <mergeCell ref="A630:B630"/>
    <mergeCell ref="A631:B631"/>
    <mergeCell ref="A632:B632"/>
    <mergeCell ref="A615:B615"/>
    <mergeCell ref="A616:B616"/>
    <mergeCell ref="A617:B617"/>
    <mergeCell ref="A618:B618"/>
    <mergeCell ref="A619:B619"/>
    <mergeCell ref="A620:B620"/>
    <mergeCell ref="A621:B621"/>
    <mergeCell ref="A622:B622"/>
    <mergeCell ref="A623:B623"/>
    <mergeCell ref="A606:B606"/>
    <mergeCell ref="A607:B607"/>
    <mergeCell ref="A608:B608"/>
    <mergeCell ref="A609:B609"/>
    <mergeCell ref="A610:B610"/>
    <mergeCell ref="A611:B611"/>
    <mergeCell ref="A612:B612"/>
    <mergeCell ref="A613:B613"/>
    <mergeCell ref="A614:B614"/>
    <mergeCell ref="A597:B597"/>
    <mergeCell ref="A598:B598"/>
    <mergeCell ref="A599:B599"/>
    <mergeCell ref="A600:B600"/>
    <mergeCell ref="A601:B601"/>
    <mergeCell ref="A602:B602"/>
    <mergeCell ref="A603:B603"/>
    <mergeCell ref="A604:B604"/>
    <mergeCell ref="A605:B605"/>
    <mergeCell ref="A660:B660"/>
    <mergeCell ref="A661:B661"/>
    <mergeCell ref="A662:B662"/>
    <mergeCell ref="A663:B663"/>
    <mergeCell ref="A664:B664"/>
    <mergeCell ref="A665:B665"/>
    <mergeCell ref="A666:B666"/>
    <mergeCell ref="A667:B667"/>
    <mergeCell ref="A668:B668"/>
    <mergeCell ref="A651:B651"/>
    <mergeCell ref="A652:B652"/>
    <mergeCell ref="A653:B653"/>
    <mergeCell ref="A654:B654"/>
    <mergeCell ref="A655:B655"/>
    <mergeCell ref="A656:B656"/>
    <mergeCell ref="A657:B657"/>
    <mergeCell ref="A658:B658"/>
    <mergeCell ref="A659:B659"/>
    <mergeCell ref="A642:B642"/>
    <mergeCell ref="A643:B643"/>
    <mergeCell ref="A644:B644"/>
    <mergeCell ref="A645:B645"/>
    <mergeCell ref="A646:B646"/>
    <mergeCell ref="A647:B647"/>
    <mergeCell ref="A648:B648"/>
    <mergeCell ref="A649:B649"/>
    <mergeCell ref="A650:B650"/>
    <mergeCell ref="A633:B633"/>
    <mergeCell ref="A634:B634"/>
    <mergeCell ref="A635:B635"/>
    <mergeCell ref="A636:B636"/>
    <mergeCell ref="A637:B637"/>
    <mergeCell ref="A638:B638"/>
    <mergeCell ref="A639:B639"/>
    <mergeCell ref="A640:B640"/>
    <mergeCell ref="A641:B641"/>
    <mergeCell ref="A696:B696"/>
    <mergeCell ref="A697:B697"/>
    <mergeCell ref="A698:B698"/>
    <mergeCell ref="A699:B699"/>
    <mergeCell ref="A700:B700"/>
    <mergeCell ref="A701:B701"/>
    <mergeCell ref="A702:B702"/>
    <mergeCell ref="A703:B703"/>
    <mergeCell ref="A704:B704"/>
    <mergeCell ref="A687:B687"/>
    <mergeCell ref="A688:B688"/>
    <mergeCell ref="A689:B689"/>
    <mergeCell ref="A690:B690"/>
    <mergeCell ref="A691:B691"/>
    <mergeCell ref="A692:B692"/>
    <mergeCell ref="A693:B693"/>
    <mergeCell ref="A694:B694"/>
    <mergeCell ref="A695:B695"/>
    <mergeCell ref="A678:B678"/>
    <mergeCell ref="A679:B679"/>
    <mergeCell ref="A680:B680"/>
    <mergeCell ref="A681:B681"/>
    <mergeCell ref="A682:B682"/>
    <mergeCell ref="A683:B683"/>
    <mergeCell ref="A684:B684"/>
    <mergeCell ref="A685:B685"/>
    <mergeCell ref="A686:B686"/>
    <mergeCell ref="A669:B669"/>
    <mergeCell ref="A670:B670"/>
    <mergeCell ref="A671:B671"/>
    <mergeCell ref="A672:B672"/>
    <mergeCell ref="A673:B673"/>
    <mergeCell ref="A674:B674"/>
    <mergeCell ref="A675:B675"/>
    <mergeCell ref="A676:B676"/>
    <mergeCell ref="A677:B677"/>
    <mergeCell ref="A732:B732"/>
    <mergeCell ref="A733:B733"/>
    <mergeCell ref="A734:B734"/>
    <mergeCell ref="A735:B735"/>
    <mergeCell ref="A736:B736"/>
    <mergeCell ref="A737:B737"/>
    <mergeCell ref="A738:B738"/>
    <mergeCell ref="A739:B739"/>
    <mergeCell ref="A740:B740"/>
    <mergeCell ref="A723:B723"/>
    <mergeCell ref="A724:B724"/>
    <mergeCell ref="A725:B725"/>
    <mergeCell ref="A726:B726"/>
    <mergeCell ref="A727:B727"/>
    <mergeCell ref="A728:B728"/>
    <mergeCell ref="A729:B729"/>
    <mergeCell ref="A730:B730"/>
    <mergeCell ref="A731:B731"/>
    <mergeCell ref="A714:B714"/>
    <mergeCell ref="A715:B715"/>
    <mergeCell ref="A716:B716"/>
    <mergeCell ref="A717:B717"/>
    <mergeCell ref="A718:B718"/>
    <mergeCell ref="A719:B719"/>
    <mergeCell ref="A720:B720"/>
    <mergeCell ref="A721:B721"/>
    <mergeCell ref="A722:B722"/>
    <mergeCell ref="A705:B705"/>
    <mergeCell ref="A706:B706"/>
    <mergeCell ref="A707:B707"/>
    <mergeCell ref="A708:B708"/>
    <mergeCell ref="A709:B709"/>
    <mergeCell ref="A710:B710"/>
    <mergeCell ref="A711:B711"/>
    <mergeCell ref="A712:B712"/>
    <mergeCell ref="A713:B713"/>
    <mergeCell ref="A768:B768"/>
    <mergeCell ref="A769:B769"/>
    <mergeCell ref="A770:B770"/>
    <mergeCell ref="A771:B771"/>
    <mergeCell ref="A772:B772"/>
    <mergeCell ref="A773:B773"/>
    <mergeCell ref="A774:B774"/>
    <mergeCell ref="A775:B775"/>
    <mergeCell ref="A776:B776"/>
    <mergeCell ref="A759:B759"/>
    <mergeCell ref="A760:B760"/>
    <mergeCell ref="A761:B761"/>
    <mergeCell ref="A762:B762"/>
    <mergeCell ref="A763:B763"/>
    <mergeCell ref="A764:B764"/>
    <mergeCell ref="A765:B765"/>
    <mergeCell ref="A766:B766"/>
    <mergeCell ref="A767:B767"/>
    <mergeCell ref="A750:B750"/>
    <mergeCell ref="A751:B751"/>
    <mergeCell ref="A752:B752"/>
    <mergeCell ref="A753:B753"/>
    <mergeCell ref="A754:B754"/>
    <mergeCell ref="A755:B755"/>
    <mergeCell ref="A756:B756"/>
    <mergeCell ref="A757:B757"/>
    <mergeCell ref="A758:B758"/>
    <mergeCell ref="A741:B741"/>
    <mergeCell ref="A742:B742"/>
    <mergeCell ref="A743:B743"/>
    <mergeCell ref="A744:B744"/>
    <mergeCell ref="A745:B745"/>
    <mergeCell ref="A746:B746"/>
    <mergeCell ref="A747:B747"/>
    <mergeCell ref="A748:B748"/>
    <mergeCell ref="A749:B749"/>
    <mergeCell ref="A804:B804"/>
    <mergeCell ref="A805:B805"/>
    <mergeCell ref="A806:B806"/>
    <mergeCell ref="A807:B807"/>
    <mergeCell ref="A808:B808"/>
    <mergeCell ref="A809:B809"/>
    <mergeCell ref="A810:B810"/>
    <mergeCell ref="A811:B811"/>
    <mergeCell ref="A812:B812"/>
    <mergeCell ref="A795:B795"/>
    <mergeCell ref="A796:B796"/>
    <mergeCell ref="A797:B797"/>
    <mergeCell ref="A798:B798"/>
    <mergeCell ref="A799:B799"/>
    <mergeCell ref="A800:B800"/>
    <mergeCell ref="A801:B801"/>
    <mergeCell ref="A802:B802"/>
    <mergeCell ref="A803:B803"/>
    <mergeCell ref="A786:B786"/>
    <mergeCell ref="A787:B787"/>
    <mergeCell ref="A788:B788"/>
    <mergeCell ref="A789:B789"/>
    <mergeCell ref="A790:B790"/>
    <mergeCell ref="A791:B791"/>
    <mergeCell ref="A792:B792"/>
    <mergeCell ref="A793:B793"/>
    <mergeCell ref="A794:B794"/>
    <mergeCell ref="A777:B777"/>
    <mergeCell ref="A778:B778"/>
    <mergeCell ref="A779:B779"/>
    <mergeCell ref="A780:B780"/>
    <mergeCell ref="A781:B781"/>
    <mergeCell ref="A782:B782"/>
    <mergeCell ref="A783:B783"/>
    <mergeCell ref="A784:B784"/>
    <mergeCell ref="A785:B785"/>
    <mergeCell ref="A840:B840"/>
    <mergeCell ref="A841:B841"/>
    <mergeCell ref="A842:B842"/>
    <mergeCell ref="A843:B843"/>
    <mergeCell ref="A844:B844"/>
    <mergeCell ref="A845:B845"/>
    <mergeCell ref="A846:B846"/>
    <mergeCell ref="A847:B847"/>
    <mergeCell ref="A848:B848"/>
    <mergeCell ref="A831:B831"/>
    <mergeCell ref="A832:B832"/>
    <mergeCell ref="A833:B833"/>
    <mergeCell ref="A834:B834"/>
    <mergeCell ref="A835:B835"/>
    <mergeCell ref="A836:B836"/>
    <mergeCell ref="A837:B837"/>
    <mergeCell ref="A838:B838"/>
    <mergeCell ref="A839:B839"/>
    <mergeCell ref="A822:B822"/>
    <mergeCell ref="A823:B823"/>
    <mergeCell ref="A824:B824"/>
    <mergeCell ref="A825:B825"/>
    <mergeCell ref="A826:B826"/>
    <mergeCell ref="A827:B827"/>
    <mergeCell ref="A828:B828"/>
    <mergeCell ref="A829:B829"/>
    <mergeCell ref="A830:B830"/>
    <mergeCell ref="A813:B813"/>
    <mergeCell ref="A814:B814"/>
    <mergeCell ref="A815:B815"/>
    <mergeCell ref="A816:B816"/>
    <mergeCell ref="A817:B817"/>
    <mergeCell ref="A818:B818"/>
    <mergeCell ref="A819:B819"/>
    <mergeCell ref="A820:B820"/>
    <mergeCell ref="A821:B821"/>
    <mergeCell ref="A876:B876"/>
    <mergeCell ref="A877:B877"/>
    <mergeCell ref="A878:B878"/>
    <mergeCell ref="A879:B879"/>
    <mergeCell ref="A880:B880"/>
    <mergeCell ref="A881:B881"/>
    <mergeCell ref="A882:B882"/>
    <mergeCell ref="A883:B883"/>
    <mergeCell ref="A884:B884"/>
    <mergeCell ref="A867:B867"/>
    <mergeCell ref="A868:B868"/>
    <mergeCell ref="A869:B869"/>
    <mergeCell ref="A870:B870"/>
    <mergeCell ref="A871:B871"/>
    <mergeCell ref="A872:B872"/>
    <mergeCell ref="A873:B873"/>
    <mergeCell ref="A874:B874"/>
    <mergeCell ref="A875:B875"/>
    <mergeCell ref="A858:B858"/>
    <mergeCell ref="A859:B859"/>
    <mergeCell ref="A860:B860"/>
    <mergeCell ref="A861:B861"/>
    <mergeCell ref="A862:B862"/>
    <mergeCell ref="A863:B863"/>
    <mergeCell ref="A864:B864"/>
    <mergeCell ref="A865:B865"/>
    <mergeCell ref="A866:B866"/>
    <mergeCell ref="A849:B849"/>
    <mergeCell ref="A850:B850"/>
    <mergeCell ref="A851:B851"/>
    <mergeCell ref="A852:B852"/>
    <mergeCell ref="A853:B853"/>
    <mergeCell ref="A854:B854"/>
    <mergeCell ref="A855:B855"/>
    <mergeCell ref="A856:B856"/>
    <mergeCell ref="A857:B857"/>
    <mergeCell ref="A912:B912"/>
    <mergeCell ref="A913:B913"/>
    <mergeCell ref="A914:B914"/>
    <mergeCell ref="A915:B915"/>
    <mergeCell ref="A916:B916"/>
    <mergeCell ref="A917:B917"/>
    <mergeCell ref="A918:B918"/>
    <mergeCell ref="A919:B919"/>
    <mergeCell ref="A920:B920"/>
    <mergeCell ref="A903:B903"/>
    <mergeCell ref="A904:B904"/>
    <mergeCell ref="A905:B905"/>
    <mergeCell ref="A906:B906"/>
    <mergeCell ref="A907:B907"/>
    <mergeCell ref="A908:B908"/>
    <mergeCell ref="A909:B909"/>
    <mergeCell ref="A910:B910"/>
    <mergeCell ref="A911:B911"/>
    <mergeCell ref="A894:B894"/>
    <mergeCell ref="A895:B895"/>
    <mergeCell ref="A896:B896"/>
    <mergeCell ref="A897:B897"/>
    <mergeCell ref="A898:B898"/>
    <mergeCell ref="A899:B899"/>
    <mergeCell ref="A900:B900"/>
    <mergeCell ref="A901:B901"/>
    <mergeCell ref="A902:B902"/>
    <mergeCell ref="A885:B885"/>
    <mergeCell ref="A886:B886"/>
    <mergeCell ref="A887:B887"/>
    <mergeCell ref="A888:B888"/>
    <mergeCell ref="A889:B889"/>
    <mergeCell ref="A890:B890"/>
    <mergeCell ref="A891:B891"/>
    <mergeCell ref="A892:B892"/>
    <mergeCell ref="A893:B893"/>
    <mergeCell ref="A948:B948"/>
    <mergeCell ref="A949:B949"/>
    <mergeCell ref="A950:B950"/>
    <mergeCell ref="A951:B951"/>
    <mergeCell ref="A952:B952"/>
    <mergeCell ref="A953:B953"/>
    <mergeCell ref="A954:B954"/>
    <mergeCell ref="A955:B955"/>
    <mergeCell ref="A956:B956"/>
    <mergeCell ref="A939:B939"/>
    <mergeCell ref="A940:B940"/>
    <mergeCell ref="A941:B941"/>
    <mergeCell ref="A942:B942"/>
    <mergeCell ref="A943:B943"/>
    <mergeCell ref="A944:B944"/>
    <mergeCell ref="A945:B945"/>
    <mergeCell ref="A946:B946"/>
    <mergeCell ref="A947:B947"/>
    <mergeCell ref="A930:B930"/>
    <mergeCell ref="A931:B931"/>
    <mergeCell ref="A932:B932"/>
    <mergeCell ref="A933:B933"/>
    <mergeCell ref="A934:B934"/>
    <mergeCell ref="A935:B935"/>
    <mergeCell ref="A936:B936"/>
    <mergeCell ref="A937:B937"/>
    <mergeCell ref="A938:B938"/>
    <mergeCell ref="A921:B921"/>
    <mergeCell ref="A922:B922"/>
    <mergeCell ref="A923:B923"/>
    <mergeCell ref="A924:B924"/>
    <mergeCell ref="A925:B925"/>
    <mergeCell ref="A926:B926"/>
    <mergeCell ref="A927:B927"/>
    <mergeCell ref="A928:B928"/>
    <mergeCell ref="A929:B929"/>
    <mergeCell ref="A984:B984"/>
    <mergeCell ref="A985:B985"/>
    <mergeCell ref="A986:B986"/>
    <mergeCell ref="A987:B987"/>
    <mergeCell ref="A988:B988"/>
    <mergeCell ref="A989:B989"/>
    <mergeCell ref="A990:B990"/>
    <mergeCell ref="A991:B991"/>
    <mergeCell ref="A992:B992"/>
    <mergeCell ref="A975:B975"/>
    <mergeCell ref="A976:B976"/>
    <mergeCell ref="A977:B977"/>
    <mergeCell ref="A978:B978"/>
    <mergeCell ref="A979:B979"/>
    <mergeCell ref="A980:B980"/>
    <mergeCell ref="A981:B981"/>
    <mergeCell ref="A982:B982"/>
    <mergeCell ref="A983:B983"/>
    <mergeCell ref="A966:B966"/>
    <mergeCell ref="A967:B967"/>
    <mergeCell ref="A968:B968"/>
    <mergeCell ref="A969:B969"/>
    <mergeCell ref="A970:B970"/>
    <mergeCell ref="A971:B971"/>
    <mergeCell ref="A972:B972"/>
    <mergeCell ref="A973:B973"/>
    <mergeCell ref="A974:B974"/>
    <mergeCell ref="A957:B957"/>
    <mergeCell ref="A958:B958"/>
    <mergeCell ref="A959:B959"/>
    <mergeCell ref="A960:B960"/>
    <mergeCell ref="A961:B961"/>
    <mergeCell ref="A962:B962"/>
    <mergeCell ref="A963:B963"/>
    <mergeCell ref="A964:B964"/>
    <mergeCell ref="A965:B965"/>
    <mergeCell ref="A1020:B1020"/>
    <mergeCell ref="A1021:B1021"/>
    <mergeCell ref="A1022:B1022"/>
    <mergeCell ref="A1023:B1023"/>
    <mergeCell ref="A1024:B1024"/>
    <mergeCell ref="A1025:B1025"/>
    <mergeCell ref="A1026:B1026"/>
    <mergeCell ref="A1027:B1027"/>
    <mergeCell ref="A1028:B1028"/>
    <mergeCell ref="A1011:B1011"/>
    <mergeCell ref="A1012:B1012"/>
    <mergeCell ref="A1013:B1013"/>
    <mergeCell ref="A1014:B1014"/>
    <mergeCell ref="A1015:B1015"/>
    <mergeCell ref="A1016:B1016"/>
    <mergeCell ref="A1017:B1017"/>
    <mergeCell ref="A1018:B1018"/>
    <mergeCell ref="A1019:B1019"/>
    <mergeCell ref="A1002:B1002"/>
    <mergeCell ref="A1003:B1003"/>
    <mergeCell ref="A1004:B1004"/>
    <mergeCell ref="A1005:B1005"/>
    <mergeCell ref="A1006:B1006"/>
    <mergeCell ref="A1007:B1007"/>
    <mergeCell ref="A1008:B1008"/>
    <mergeCell ref="A1009:B1009"/>
    <mergeCell ref="A1010:B1010"/>
    <mergeCell ref="A993:B993"/>
    <mergeCell ref="A994:B994"/>
    <mergeCell ref="A995:B995"/>
    <mergeCell ref="A996:B996"/>
    <mergeCell ref="A997:B997"/>
    <mergeCell ref="A998:B998"/>
    <mergeCell ref="A999:B999"/>
    <mergeCell ref="A1000:B1000"/>
    <mergeCell ref="A1001:B1001"/>
    <mergeCell ref="A1056:B1056"/>
    <mergeCell ref="A1057:B1057"/>
    <mergeCell ref="A1058:B1058"/>
    <mergeCell ref="A1059:B1059"/>
    <mergeCell ref="A1060:B1060"/>
    <mergeCell ref="A1061:B1061"/>
    <mergeCell ref="A1062:B1062"/>
    <mergeCell ref="A1063:B1063"/>
    <mergeCell ref="A1064:B1064"/>
    <mergeCell ref="A1047:B1047"/>
    <mergeCell ref="A1048:B1048"/>
    <mergeCell ref="A1049:B1049"/>
    <mergeCell ref="A1050:B1050"/>
    <mergeCell ref="A1051:B1051"/>
    <mergeCell ref="A1052:B1052"/>
    <mergeCell ref="A1053:B1053"/>
    <mergeCell ref="A1054:B1054"/>
    <mergeCell ref="A1055:B1055"/>
    <mergeCell ref="A1038:B1038"/>
    <mergeCell ref="A1039:B1039"/>
    <mergeCell ref="A1040:B1040"/>
    <mergeCell ref="A1041:B1041"/>
    <mergeCell ref="A1042:B1042"/>
    <mergeCell ref="A1043:B1043"/>
    <mergeCell ref="A1044:B1044"/>
    <mergeCell ref="A1045:B1045"/>
    <mergeCell ref="A1046:B1046"/>
    <mergeCell ref="A1029:B1029"/>
    <mergeCell ref="A1030:B1030"/>
    <mergeCell ref="A1031:B1031"/>
    <mergeCell ref="A1032:B1032"/>
    <mergeCell ref="A1033:B1033"/>
    <mergeCell ref="A1034:B1034"/>
    <mergeCell ref="A1035:B1035"/>
    <mergeCell ref="A1036:B1036"/>
    <mergeCell ref="A1037:B1037"/>
    <mergeCell ref="A1092:B1092"/>
    <mergeCell ref="A1093:B1093"/>
    <mergeCell ref="A1094:B1094"/>
    <mergeCell ref="A1095:B1095"/>
    <mergeCell ref="A1096:B1096"/>
    <mergeCell ref="A1097:B1097"/>
    <mergeCell ref="A1098:B1098"/>
    <mergeCell ref="A1099:B1099"/>
    <mergeCell ref="A1100:B1100"/>
    <mergeCell ref="A1083:B1083"/>
    <mergeCell ref="A1084:B1084"/>
    <mergeCell ref="A1085:B1085"/>
    <mergeCell ref="A1086:B1086"/>
    <mergeCell ref="A1087:B1087"/>
    <mergeCell ref="A1088:B1088"/>
    <mergeCell ref="A1089:B1089"/>
    <mergeCell ref="A1090:B1090"/>
    <mergeCell ref="A1091:B1091"/>
    <mergeCell ref="A1074:B1074"/>
    <mergeCell ref="A1075:B1075"/>
    <mergeCell ref="A1076:B1076"/>
    <mergeCell ref="A1077:B1077"/>
    <mergeCell ref="A1078:B1078"/>
    <mergeCell ref="A1079:B1079"/>
    <mergeCell ref="A1080:B1080"/>
    <mergeCell ref="A1081:B1081"/>
    <mergeCell ref="A1082:B1082"/>
    <mergeCell ref="A1065:B1065"/>
    <mergeCell ref="A1066:B1066"/>
    <mergeCell ref="A1067:B1067"/>
    <mergeCell ref="A1068:B1068"/>
    <mergeCell ref="A1069:B1069"/>
    <mergeCell ref="A1070:B1070"/>
    <mergeCell ref="A1071:B1071"/>
    <mergeCell ref="A1072:B1072"/>
    <mergeCell ref="A1073:B1073"/>
    <mergeCell ref="A1128:B1128"/>
    <mergeCell ref="A1129:B1129"/>
    <mergeCell ref="A1130:B1130"/>
    <mergeCell ref="A1131:B1131"/>
    <mergeCell ref="A1132:B1132"/>
    <mergeCell ref="A1133:B1133"/>
    <mergeCell ref="A1134:B1134"/>
    <mergeCell ref="A1135:B1135"/>
    <mergeCell ref="A1136:B1136"/>
    <mergeCell ref="A1119:B1119"/>
    <mergeCell ref="A1120:B1120"/>
    <mergeCell ref="A1121:B1121"/>
    <mergeCell ref="A1122:B1122"/>
    <mergeCell ref="A1123:B1123"/>
    <mergeCell ref="A1124:B1124"/>
    <mergeCell ref="A1125:B1125"/>
    <mergeCell ref="A1126:B1126"/>
    <mergeCell ref="A1127:B1127"/>
    <mergeCell ref="A1110:B1110"/>
    <mergeCell ref="A1111:B1111"/>
    <mergeCell ref="A1112:B1112"/>
    <mergeCell ref="A1113:B1113"/>
    <mergeCell ref="A1114:B1114"/>
    <mergeCell ref="A1115:B1115"/>
    <mergeCell ref="A1116:B1116"/>
    <mergeCell ref="A1117:B1117"/>
    <mergeCell ref="A1118:B1118"/>
    <mergeCell ref="A1101:B1101"/>
    <mergeCell ref="A1102:B1102"/>
    <mergeCell ref="A1103:B1103"/>
    <mergeCell ref="A1104:B1104"/>
    <mergeCell ref="A1105:B1105"/>
    <mergeCell ref="A1106:B1106"/>
    <mergeCell ref="A1107:B1107"/>
    <mergeCell ref="A1108:B1108"/>
    <mergeCell ref="A1109:B1109"/>
    <mergeCell ref="A1164:B1164"/>
    <mergeCell ref="A1165:B1165"/>
    <mergeCell ref="A1166:B1166"/>
    <mergeCell ref="A1167:B1167"/>
    <mergeCell ref="A1168:B1168"/>
    <mergeCell ref="A1169:B1169"/>
    <mergeCell ref="A1170:B1170"/>
    <mergeCell ref="A1171:B1171"/>
    <mergeCell ref="A1172:B1172"/>
    <mergeCell ref="A1155:B1155"/>
    <mergeCell ref="A1156:B1156"/>
    <mergeCell ref="A1157:B1157"/>
    <mergeCell ref="A1158:B1158"/>
    <mergeCell ref="A1159:B1159"/>
    <mergeCell ref="A1160:B1160"/>
    <mergeCell ref="A1161:B1161"/>
    <mergeCell ref="A1162:B1162"/>
    <mergeCell ref="A1163:B1163"/>
    <mergeCell ref="A1146:B1146"/>
    <mergeCell ref="A1147:B1147"/>
    <mergeCell ref="A1148:B1148"/>
    <mergeCell ref="A1149:B1149"/>
    <mergeCell ref="A1150:B1150"/>
    <mergeCell ref="A1151:B1151"/>
    <mergeCell ref="A1152:B1152"/>
    <mergeCell ref="A1153:B1153"/>
    <mergeCell ref="A1154:B1154"/>
    <mergeCell ref="A1137:B1137"/>
    <mergeCell ref="A1138:B1138"/>
    <mergeCell ref="A1139:B1139"/>
    <mergeCell ref="A1140:B1140"/>
    <mergeCell ref="A1141:B1141"/>
    <mergeCell ref="A1142:B1142"/>
    <mergeCell ref="A1143:B1143"/>
    <mergeCell ref="A1144:B1144"/>
    <mergeCell ref="A1145:B1145"/>
    <mergeCell ref="A1200:B1200"/>
    <mergeCell ref="A1201:B1201"/>
    <mergeCell ref="A1202:B1202"/>
    <mergeCell ref="A1203:B1203"/>
    <mergeCell ref="A1204:B1204"/>
    <mergeCell ref="A1205:B1205"/>
    <mergeCell ref="A1206:B1206"/>
    <mergeCell ref="A1207:B1207"/>
    <mergeCell ref="A1208:B1208"/>
    <mergeCell ref="A1191:B1191"/>
    <mergeCell ref="A1192:B1192"/>
    <mergeCell ref="A1193:B1193"/>
    <mergeCell ref="A1194:B1194"/>
    <mergeCell ref="A1195:B1195"/>
    <mergeCell ref="A1196:B1196"/>
    <mergeCell ref="A1197:B1197"/>
    <mergeCell ref="A1198:B1198"/>
    <mergeCell ref="A1199:B1199"/>
    <mergeCell ref="A1182:B1182"/>
    <mergeCell ref="A1183:B1183"/>
    <mergeCell ref="A1184:B1184"/>
    <mergeCell ref="A1185:B1185"/>
    <mergeCell ref="A1186:B1186"/>
    <mergeCell ref="A1187:B1187"/>
    <mergeCell ref="A1188:B1188"/>
    <mergeCell ref="A1189:B1189"/>
    <mergeCell ref="A1190:B1190"/>
    <mergeCell ref="A1173:B1173"/>
    <mergeCell ref="A1174:B1174"/>
    <mergeCell ref="A1175:B1175"/>
    <mergeCell ref="A1176:B1176"/>
    <mergeCell ref="A1177:B1177"/>
    <mergeCell ref="A1178:B1178"/>
    <mergeCell ref="A1179:B1179"/>
    <mergeCell ref="A1180:B1180"/>
    <mergeCell ref="A1181:B1181"/>
    <mergeCell ref="A1236:B1236"/>
    <mergeCell ref="A1237:B1237"/>
    <mergeCell ref="A1238:B1238"/>
    <mergeCell ref="A1239:B1239"/>
    <mergeCell ref="A1240:B1240"/>
    <mergeCell ref="A1241:B1241"/>
    <mergeCell ref="A1242:B1242"/>
    <mergeCell ref="A1243:B1243"/>
    <mergeCell ref="A1244:B1244"/>
    <mergeCell ref="A1227:B1227"/>
    <mergeCell ref="A1228:B1228"/>
    <mergeCell ref="A1229:B1229"/>
    <mergeCell ref="A1230:B1230"/>
    <mergeCell ref="A1231:B1231"/>
    <mergeCell ref="A1232:B1232"/>
    <mergeCell ref="A1233:B1233"/>
    <mergeCell ref="A1234:B1234"/>
    <mergeCell ref="A1235:B1235"/>
    <mergeCell ref="A1218:B1218"/>
    <mergeCell ref="A1219:B1219"/>
    <mergeCell ref="A1220:B1220"/>
    <mergeCell ref="A1221:B1221"/>
    <mergeCell ref="A1222:B1222"/>
    <mergeCell ref="A1223:B1223"/>
    <mergeCell ref="A1224:B1224"/>
    <mergeCell ref="A1225:B1225"/>
    <mergeCell ref="A1226:B1226"/>
    <mergeCell ref="A1209:B1209"/>
    <mergeCell ref="A1210:B1210"/>
    <mergeCell ref="A1211:B1211"/>
    <mergeCell ref="A1212:B1212"/>
    <mergeCell ref="A1213:B1213"/>
    <mergeCell ref="A1214:B1214"/>
    <mergeCell ref="A1215:B1215"/>
    <mergeCell ref="A1216:B1216"/>
    <mergeCell ref="A1217:B1217"/>
    <mergeCell ref="A1272:B1272"/>
    <mergeCell ref="A1273:B1273"/>
    <mergeCell ref="A1274:B1274"/>
    <mergeCell ref="A1275:B1275"/>
    <mergeCell ref="A1276:B1276"/>
    <mergeCell ref="A1277:B1277"/>
    <mergeCell ref="A1278:B1278"/>
    <mergeCell ref="A1279:B1279"/>
    <mergeCell ref="A1280:B1280"/>
    <mergeCell ref="A1263:B1263"/>
    <mergeCell ref="A1264:B1264"/>
    <mergeCell ref="A1265:B1265"/>
    <mergeCell ref="A1266:B1266"/>
    <mergeCell ref="A1267:B1267"/>
    <mergeCell ref="A1268:B1268"/>
    <mergeCell ref="A1269:B1269"/>
    <mergeCell ref="A1270:B1270"/>
    <mergeCell ref="A1271:B1271"/>
    <mergeCell ref="A1254:B1254"/>
    <mergeCell ref="A1255:B1255"/>
    <mergeCell ref="A1256:B1256"/>
    <mergeCell ref="A1257:B1257"/>
    <mergeCell ref="A1258:B1258"/>
    <mergeCell ref="A1259:B1259"/>
    <mergeCell ref="A1260:B1260"/>
    <mergeCell ref="A1261:B1261"/>
    <mergeCell ref="A1262:B1262"/>
    <mergeCell ref="A1245:B1245"/>
    <mergeCell ref="A1246:B1246"/>
    <mergeCell ref="A1247:B1247"/>
    <mergeCell ref="A1248:B1248"/>
    <mergeCell ref="A1249:B1249"/>
    <mergeCell ref="A1250:B1250"/>
    <mergeCell ref="A1251:B1251"/>
    <mergeCell ref="A1252:B1252"/>
    <mergeCell ref="A1253:B1253"/>
    <mergeCell ref="A1308:B1308"/>
    <mergeCell ref="A1309:B1309"/>
    <mergeCell ref="A1310:B1310"/>
    <mergeCell ref="A1311:B1311"/>
    <mergeCell ref="A1312:B1312"/>
    <mergeCell ref="A1313:B1313"/>
    <mergeCell ref="A1314:B1314"/>
    <mergeCell ref="A1315:B1315"/>
    <mergeCell ref="A1316:B1316"/>
    <mergeCell ref="A1299:B1299"/>
    <mergeCell ref="A1300:B1300"/>
    <mergeCell ref="A1301:B1301"/>
    <mergeCell ref="A1302:B1302"/>
    <mergeCell ref="A1303:B1303"/>
    <mergeCell ref="A1304:B1304"/>
    <mergeCell ref="A1305:B1305"/>
    <mergeCell ref="A1306:B1306"/>
    <mergeCell ref="A1307:B1307"/>
    <mergeCell ref="A1290:B1290"/>
    <mergeCell ref="A1291:B1291"/>
    <mergeCell ref="A1292:B1292"/>
    <mergeCell ref="A1293:B1293"/>
    <mergeCell ref="A1294:B1294"/>
    <mergeCell ref="A1295:B1295"/>
    <mergeCell ref="A1296:B1296"/>
    <mergeCell ref="A1297:B1297"/>
    <mergeCell ref="A1298:B1298"/>
    <mergeCell ref="A1281:B1281"/>
    <mergeCell ref="A1282:B1282"/>
    <mergeCell ref="A1283:B1283"/>
    <mergeCell ref="A1284:B1284"/>
    <mergeCell ref="A1285:B1285"/>
    <mergeCell ref="A1286:B1286"/>
    <mergeCell ref="A1287:B1287"/>
    <mergeCell ref="A1288:B1288"/>
    <mergeCell ref="A1289:B1289"/>
    <mergeCell ref="A1344:B1344"/>
    <mergeCell ref="A1345:B1345"/>
    <mergeCell ref="A1346:B1346"/>
    <mergeCell ref="A1347:B1347"/>
    <mergeCell ref="A1348:B1348"/>
    <mergeCell ref="A1349:B1349"/>
    <mergeCell ref="A1350:B1350"/>
    <mergeCell ref="A1351:B1351"/>
    <mergeCell ref="A1352:B1352"/>
    <mergeCell ref="A1335:B1335"/>
    <mergeCell ref="A1336:B1336"/>
    <mergeCell ref="A1337:B1337"/>
    <mergeCell ref="A1338:B1338"/>
    <mergeCell ref="A1339:B1339"/>
    <mergeCell ref="A1340:B1340"/>
    <mergeCell ref="A1341:B1341"/>
    <mergeCell ref="A1342:B1342"/>
    <mergeCell ref="A1343:B1343"/>
    <mergeCell ref="A1326:B1326"/>
    <mergeCell ref="A1327:B1327"/>
    <mergeCell ref="A1328:B1328"/>
    <mergeCell ref="A1329:B1329"/>
    <mergeCell ref="A1330:B1330"/>
    <mergeCell ref="A1331:B1331"/>
    <mergeCell ref="A1332:B1332"/>
    <mergeCell ref="A1333:B1333"/>
    <mergeCell ref="A1334:B1334"/>
    <mergeCell ref="A1317:B1317"/>
    <mergeCell ref="A1318:B1318"/>
    <mergeCell ref="A1319:B1319"/>
    <mergeCell ref="A1320:B1320"/>
    <mergeCell ref="A1321:B1321"/>
    <mergeCell ref="A1322:B1322"/>
    <mergeCell ref="A1323:B1323"/>
    <mergeCell ref="A1324:B1324"/>
    <mergeCell ref="A1325:B1325"/>
    <mergeCell ref="A1380:B1380"/>
    <mergeCell ref="A1381:B1381"/>
    <mergeCell ref="A1382:B1382"/>
    <mergeCell ref="A1383:B1383"/>
    <mergeCell ref="A1384:B1384"/>
    <mergeCell ref="A1385:B1385"/>
    <mergeCell ref="A1386:B1386"/>
    <mergeCell ref="A1387:B1387"/>
    <mergeCell ref="A1388:B1388"/>
    <mergeCell ref="A1371:B1371"/>
    <mergeCell ref="A1372:B1372"/>
    <mergeCell ref="A1373:B1373"/>
    <mergeCell ref="A1374:B1374"/>
    <mergeCell ref="A1375:B1375"/>
    <mergeCell ref="A1376:B1376"/>
    <mergeCell ref="A1377:B1377"/>
    <mergeCell ref="A1378:B1378"/>
    <mergeCell ref="A1379:B1379"/>
    <mergeCell ref="A1362:B1362"/>
    <mergeCell ref="A1363:B1363"/>
    <mergeCell ref="A1364:B1364"/>
    <mergeCell ref="A1365:B1365"/>
    <mergeCell ref="A1366:B1366"/>
    <mergeCell ref="A1367:B1367"/>
    <mergeCell ref="A1368:B1368"/>
    <mergeCell ref="A1369:B1369"/>
    <mergeCell ref="A1370:B1370"/>
    <mergeCell ref="A1353:B1353"/>
    <mergeCell ref="A1354:B1354"/>
    <mergeCell ref="A1355:B1355"/>
    <mergeCell ref="A1356:B1356"/>
    <mergeCell ref="A1357:B1357"/>
    <mergeCell ref="A1358:B1358"/>
    <mergeCell ref="A1359:B1359"/>
    <mergeCell ref="A1360:B1360"/>
    <mergeCell ref="A1361:B1361"/>
    <mergeCell ref="A1416:B1416"/>
    <mergeCell ref="A1417:B1417"/>
    <mergeCell ref="A1418:B1418"/>
    <mergeCell ref="A1419:B1419"/>
    <mergeCell ref="A1420:B1420"/>
    <mergeCell ref="A1421:B1421"/>
    <mergeCell ref="A1422:B1422"/>
    <mergeCell ref="A1423:B1423"/>
    <mergeCell ref="A1424:B1424"/>
    <mergeCell ref="A1407:B1407"/>
    <mergeCell ref="A1408:B1408"/>
    <mergeCell ref="A1409:B1409"/>
    <mergeCell ref="A1410:B1410"/>
    <mergeCell ref="A1411:B1411"/>
    <mergeCell ref="A1412:B1412"/>
    <mergeCell ref="A1413:B1413"/>
    <mergeCell ref="A1414:B1414"/>
    <mergeCell ref="A1415:B1415"/>
    <mergeCell ref="A1398:B1398"/>
    <mergeCell ref="A1399:B1399"/>
    <mergeCell ref="A1400:B1400"/>
    <mergeCell ref="A1401:B1401"/>
    <mergeCell ref="A1402:B1402"/>
    <mergeCell ref="A1403:B1403"/>
    <mergeCell ref="A1404:B1404"/>
    <mergeCell ref="A1405:B1405"/>
    <mergeCell ref="A1406:B1406"/>
    <mergeCell ref="A1389:B1389"/>
    <mergeCell ref="A1390:B1390"/>
    <mergeCell ref="A1391:B1391"/>
    <mergeCell ref="A1392:B1392"/>
    <mergeCell ref="A1393:B1393"/>
    <mergeCell ref="A1394:B1394"/>
    <mergeCell ref="A1395:B1395"/>
    <mergeCell ref="A1396:B1396"/>
    <mergeCell ref="A1397:B1397"/>
    <mergeCell ref="A1452:B1452"/>
    <mergeCell ref="A1453:B1453"/>
    <mergeCell ref="A1454:B1454"/>
    <mergeCell ref="A1455:B1455"/>
    <mergeCell ref="A1456:B1456"/>
    <mergeCell ref="A1457:B1457"/>
    <mergeCell ref="A1458:B1458"/>
    <mergeCell ref="A1459:B1459"/>
    <mergeCell ref="A1460:B1460"/>
    <mergeCell ref="A1443:B1443"/>
    <mergeCell ref="A1444:B1444"/>
    <mergeCell ref="A1445:B1445"/>
    <mergeCell ref="A1446:B1446"/>
    <mergeCell ref="A1447:B1447"/>
    <mergeCell ref="A1448:B1448"/>
    <mergeCell ref="A1449:B1449"/>
    <mergeCell ref="A1450:B1450"/>
    <mergeCell ref="A1451:B1451"/>
    <mergeCell ref="A1434:B1434"/>
    <mergeCell ref="A1435:B1435"/>
    <mergeCell ref="A1436:B1436"/>
    <mergeCell ref="A1437:B1437"/>
    <mergeCell ref="A1438:B1438"/>
    <mergeCell ref="A1439:B1439"/>
    <mergeCell ref="A1440:B1440"/>
    <mergeCell ref="A1441:B1441"/>
    <mergeCell ref="A1442:B1442"/>
    <mergeCell ref="A1425:B1425"/>
    <mergeCell ref="A1426:B1426"/>
    <mergeCell ref="A1427:B1427"/>
    <mergeCell ref="A1428:B1428"/>
    <mergeCell ref="A1429:B1429"/>
    <mergeCell ref="A1430:B1430"/>
    <mergeCell ref="A1431:B1431"/>
    <mergeCell ref="A1432:B1432"/>
    <mergeCell ref="A1433:B1433"/>
    <mergeCell ref="A1488:B1488"/>
    <mergeCell ref="A1489:B1489"/>
    <mergeCell ref="A1490:B1490"/>
    <mergeCell ref="A1491:B1491"/>
    <mergeCell ref="A1492:B1492"/>
    <mergeCell ref="A1493:B1493"/>
    <mergeCell ref="A1494:B1494"/>
    <mergeCell ref="A1495:B1495"/>
    <mergeCell ref="A1496:B1496"/>
    <mergeCell ref="A1479:B1479"/>
    <mergeCell ref="A1480:B1480"/>
    <mergeCell ref="A1481:B1481"/>
    <mergeCell ref="A1482:B1482"/>
    <mergeCell ref="A1483:B1483"/>
    <mergeCell ref="A1484:B1484"/>
    <mergeCell ref="A1485:B1485"/>
    <mergeCell ref="A1486:B1486"/>
    <mergeCell ref="A1487:B1487"/>
    <mergeCell ref="A1470:B1470"/>
    <mergeCell ref="A1471:B1471"/>
    <mergeCell ref="A1472:B1472"/>
    <mergeCell ref="A1473:B1473"/>
    <mergeCell ref="A1474:B1474"/>
    <mergeCell ref="A1475:B1475"/>
    <mergeCell ref="A1476:B1476"/>
    <mergeCell ref="A1477:B1477"/>
    <mergeCell ref="A1478:B1478"/>
    <mergeCell ref="A1461:B1461"/>
    <mergeCell ref="A1462:B1462"/>
    <mergeCell ref="A1463:B1463"/>
    <mergeCell ref="A1464:B1464"/>
    <mergeCell ref="A1465:B1465"/>
    <mergeCell ref="A1466:B1466"/>
    <mergeCell ref="A1467:B1467"/>
    <mergeCell ref="A1468:B1468"/>
    <mergeCell ref="A1469:B1469"/>
    <mergeCell ref="A1524:B1524"/>
    <mergeCell ref="A1525:B1525"/>
    <mergeCell ref="A1526:B1526"/>
    <mergeCell ref="A1527:B1527"/>
    <mergeCell ref="A1528:B1528"/>
    <mergeCell ref="A1529:B1529"/>
    <mergeCell ref="A1530:B1530"/>
    <mergeCell ref="A1531:B1531"/>
    <mergeCell ref="A1532:B1532"/>
    <mergeCell ref="A1515:B1515"/>
    <mergeCell ref="A1516:B1516"/>
    <mergeCell ref="A1517:B1517"/>
    <mergeCell ref="A1518:B1518"/>
    <mergeCell ref="A1519:B1519"/>
    <mergeCell ref="A1520:B1520"/>
    <mergeCell ref="A1521:B1521"/>
    <mergeCell ref="A1522:B1522"/>
    <mergeCell ref="A1523:B1523"/>
    <mergeCell ref="A1506:B1506"/>
    <mergeCell ref="A1507:B1507"/>
    <mergeCell ref="A1508:B1508"/>
    <mergeCell ref="A1509:B1509"/>
    <mergeCell ref="A1510:B1510"/>
    <mergeCell ref="A1511:B1511"/>
    <mergeCell ref="A1512:B1512"/>
    <mergeCell ref="A1513:B1513"/>
    <mergeCell ref="A1514:B1514"/>
    <mergeCell ref="A1497:B1497"/>
    <mergeCell ref="A1498:B1498"/>
    <mergeCell ref="A1499:B1499"/>
    <mergeCell ref="A1500:B1500"/>
    <mergeCell ref="A1501:B1501"/>
    <mergeCell ref="A1502:B1502"/>
    <mergeCell ref="A1503:B1503"/>
    <mergeCell ref="A1504:B1504"/>
    <mergeCell ref="A1505:B1505"/>
    <mergeCell ref="A1560:B1560"/>
    <mergeCell ref="A1561:B1561"/>
    <mergeCell ref="A1562:B1562"/>
    <mergeCell ref="A1563:B1563"/>
    <mergeCell ref="A1564:B1564"/>
    <mergeCell ref="A1565:B1565"/>
    <mergeCell ref="A1566:B1566"/>
    <mergeCell ref="A1567:B1567"/>
    <mergeCell ref="A1568:B1568"/>
    <mergeCell ref="A1551:B1551"/>
    <mergeCell ref="A1552:B1552"/>
    <mergeCell ref="A1553:B1553"/>
    <mergeCell ref="A1554:B1554"/>
    <mergeCell ref="A1555:B1555"/>
    <mergeCell ref="A1556:B1556"/>
    <mergeCell ref="A1557:B1557"/>
    <mergeCell ref="A1558:B1558"/>
    <mergeCell ref="A1559:B1559"/>
    <mergeCell ref="A1542:B1542"/>
    <mergeCell ref="A1543:B1543"/>
    <mergeCell ref="A1544:B1544"/>
    <mergeCell ref="A1545:B1545"/>
    <mergeCell ref="A1546:B1546"/>
    <mergeCell ref="A1547:B1547"/>
    <mergeCell ref="A1548:B1548"/>
    <mergeCell ref="A1549:B1549"/>
    <mergeCell ref="A1550:B1550"/>
    <mergeCell ref="A1533:B1533"/>
    <mergeCell ref="A1534:B1534"/>
    <mergeCell ref="A1535:B1535"/>
    <mergeCell ref="A1536:B1536"/>
    <mergeCell ref="A1537:B1537"/>
    <mergeCell ref="A1538:B1538"/>
    <mergeCell ref="A1539:B1539"/>
    <mergeCell ref="A1540:B1540"/>
    <mergeCell ref="A1541:B1541"/>
    <mergeCell ref="A1596:B1596"/>
    <mergeCell ref="A1597:B1597"/>
    <mergeCell ref="A1598:B1598"/>
    <mergeCell ref="A1599:B1599"/>
    <mergeCell ref="A1600:B1600"/>
    <mergeCell ref="A1601:B1601"/>
    <mergeCell ref="A1602:B1602"/>
    <mergeCell ref="A1603:B1603"/>
    <mergeCell ref="A1604:B1604"/>
    <mergeCell ref="A1587:B1587"/>
    <mergeCell ref="A1588:B1588"/>
    <mergeCell ref="A1589:B1589"/>
    <mergeCell ref="A1590:B1590"/>
    <mergeCell ref="A1591:B1591"/>
    <mergeCell ref="A1592:B1592"/>
    <mergeCell ref="A1593:B1593"/>
    <mergeCell ref="A1594:B1594"/>
    <mergeCell ref="A1595:B1595"/>
    <mergeCell ref="A1578:B1578"/>
    <mergeCell ref="A1579:B1579"/>
    <mergeCell ref="A1580:B1580"/>
    <mergeCell ref="A1581:B1581"/>
    <mergeCell ref="A1582:B1582"/>
    <mergeCell ref="A1583:B1583"/>
    <mergeCell ref="A1584:B1584"/>
    <mergeCell ref="A1585:B1585"/>
    <mergeCell ref="A1586:B1586"/>
    <mergeCell ref="A1569:B1569"/>
    <mergeCell ref="A1570:B1570"/>
    <mergeCell ref="A1571:B1571"/>
    <mergeCell ref="A1572:B1572"/>
    <mergeCell ref="A1573:B1573"/>
    <mergeCell ref="A1574:B1574"/>
    <mergeCell ref="A1575:B1575"/>
    <mergeCell ref="A1576:B1576"/>
    <mergeCell ref="A1577:B1577"/>
    <mergeCell ref="A1632:B1632"/>
    <mergeCell ref="A1633:B1633"/>
    <mergeCell ref="A1634:B1634"/>
    <mergeCell ref="A1635:B1635"/>
    <mergeCell ref="A1636:B1636"/>
    <mergeCell ref="A1637:B1637"/>
    <mergeCell ref="A1638:B1638"/>
    <mergeCell ref="A1639:B1639"/>
    <mergeCell ref="A1640:B1640"/>
    <mergeCell ref="A1623:B1623"/>
    <mergeCell ref="A1624:B1624"/>
    <mergeCell ref="A1625:B1625"/>
    <mergeCell ref="A1626:B1626"/>
    <mergeCell ref="A1627:B1627"/>
    <mergeCell ref="A1628:B1628"/>
    <mergeCell ref="A1629:B1629"/>
    <mergeCell ref="A1630:B1630"/>
    <mergeCell ref="A1631:B1631"/>
    <mergeCell ref="A1614:B1614"/>
    <mergeCell ref="A1615:B1615"/>
    <mergeCell ref="A1616:B1616"/>
    <mergeCell ref="A1617:B1617"/>
    <mergeCell ref="A1618:B1618"/>
    <mergeCell ref="A1619:B1619"/>
    <mergeCell ref="A1620:B1620"/>
    <mergeCell ref="A1621:B1621"/>
    <mergeCell ref="A1622:B1622"/>
    <mergeCell ref="A1605:B1605"/>
    <mergeCell ref="A1606:B1606"/>
    <mergeCell ref="A1607:B1607"/>
    <mergeCell ref="A1608:B1608"/>
    <mergeCell ref="A1609:B1609"/>
    <mergeCell ref="A1610:B1610"/>
    <mergeCell ref="A1611:B1611"/>
    <mergeCell ref="A1612:B1612"/>
    <mergeCell ref="A1613:B1613"/>
    <mergeCell ref="A1668:B1668"/>
    <mergeCell ref="A1669:B1669"/>
    <mergeCell ref="A1670:B1670"/>
    <mergeCell ref="A1671:B1671"/>
    <mergeCell ref="A1672:B1672"/>
    <mergeCell ref="A1673:B1673"/>
    <mergeCell ref="A1674:B1674"/>
    <mergeCell ref="A1675:B1675"/>
    <mergeCell ref="A1676:B1676"/>
    <mergeCell ref="A1659:B1659"/>
    <mergeCell ref="A1660:B1660"/>
    <mergeCell ref="A1661:B1661"/>
    <mergeCell ref="A1662:B1662"/>
    <mergeCell ref="A1663:B1663"/>
    <mergeCell ref="A1664:B1664"/>
    <mergeCell ref="A1665:B1665"/>
    <mergeCell ref="A1666:B1666"/>
    <mergeCell ref="A1667:B1667"/>
    <mergeCell ref="A1650:B1650"/>
    <mergeCell ref="A1651:B1651"/>
    <mergeCell ref="A1652:B1652"/>
    <mergeCell ref="A1653:B1653"/>
    <mergeCell ref="A1654:B1654"/>
    <mergeCell ref="A1655:B1655"/>
    <mergeCell ref="A1656:B1656"/>
    <mergeCell ref="A1657:B1657"/>
    <mergeCell ref="A1658:B1658"/>
    <mergeCell ref="A1641:B1641"/>
    <mergeCell ref="A1642:B1642"/>
    <mergeCell ref="A1643:B1643"/>
    <mergeCell ref="A1644:B1644"/>
    <mergeCell ref="A1645:B1645"/>
    <mergeCell ref="A1646:B1646"/>
    <mergeCell ref="A1647:B1647"/>
    <mergeCell ref="A1648:B1648"/>
    <mergeCell ref="A1649:B1649"/>
    <mergeCell ref="A1704:B1704"/>
    <mergeCell ref="A1705:B1705"/>
    <mergeCell ref="A1706:B1706"/>
    <mergeCell ref="A1707:B1707"/>
    <mergeCell ref="A1708:B1708"/>
    <mergeCell ref="A1709:B1709"/>
    <mergeCell ref="A1710:B1710"/>
    <mergeCell ref="A1711:B1711"/>
    <mergeCell ref="A1712:B1712"/>
    <mergeCell ref="A1695:B1695"/>
    <mergeCell ref="A1696:B1696"/>
    <mergeCell ref="A1697:B1697"/>
    <mergeCell ref="A1698:B1698"/>
    <mergeCell ref="A1699:B1699"/>
    <mergeCell ref="A1700:B1700"/>
    <mergeCell ref="A1701:B1701"/>
    <mergeCell ref="A1702:B1702"/>
    <mergeCell ref="A1703:B1703"/>
    <mergeCell ref="A1686:B1686"/>
    <mergeCell ref="A1687:B1687"/>
    <mergeCell ref="A1688:B1688"/>
    <mergeCell ref="A1689:B1689"/>
    <mergeCell ref="A1690:B1690"/>
    <mergeCell ref="A1691:B1691"/>
    <mergeCell ref="A1692:B1692"/>
    <mergeCell ref="A1693:B1693"/>
    <mergeCell ref="A1694:B1694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740:B1740"/>
    <mergeCell ref="A1741:B1741"/>
    <mergeCell ref="A1742:B1742"/>
    <mergeCell ref="A1743:B1743"/>
    <mergeCell ref="A1744:B1744"/>
    <mergeCell ref="A1745:B1745"/>
    <mergeCell ref="A1746:B1746"/>
    <mergeCell ref="A1747:B1747"/>
    <mergeCell ref="A1748:B1748"/>
    <mergeCell ref="A1731:B1731"/>
    <mergeCell ref="A1732:B1732"/>
    <mergeCell ref="A1733:B1733"/>
    <mergeCell ref="A1734:B1734"/>
    <mergeCell ref="A1735:B1735"/>
    <mergeCell ref="A1736:B1736"/>
    <mergeCell ref="A1737:B1737"/>
    <mergeCell ref="A1738:B1738"/>
    <mergeCell ref="A1739:B1739"/>
    <mergeCell ref="A1722:B1722"/>
    <mergeCell ref="A1723:B1723"/>
    <mergeCell ref="A1724:B1724"/>
    <mergeCell ref="A1725:B1725"/>
    <mergeCell ref="A1726:B1726"/>
    <mergeCell ref="A1727:B1727"/>
    <mergeCell ref="A1728:B1728"/>
    <mergeCell ref="A1729:B1729"/>
    <mergeCell ref="A1730:B1730"/>
    <mergeCell ref="A1713:B1713"/>
    <mergeCell ref="A1714:B1714"/>
    <mergeCell ref="A1715:B1715"/>
    <mergeCell ref="A1716:B1716"/>
    <mergeCell ref="A1717:B1717"/>
    <mergeCell ref="A1718:B1718"/>
    <mergeCell ref="A1719:B1719"/>
    <mergeCell ref="A1720:B1720"/>
    <mergeCell ref="A1721:B1721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67:B1767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58:B1758"/>
    <mergeCell ref="A1759:B1759"/>
    <mergeCell ref="A1760:B1760"/>
    <mergeCell ref="A1761:B1761"/>
    <mergeCell ref="A1762:B1762"/>
    <mergeCell ref="A1763:B1763"/>
    <mergeCell ref="A1764:B1764"/>
    <mergeCell ref="A1765:B1765"/>
    <mergeCell ref="A1766:B1766"/>
    <mergeCell ref="A1749:B1749"/>
    <mergeCell ref="A1750:B1750"/>
    <mergeCell ref="A1751:B1751"/>
    <mergeCell ref="A1752:B1752"/>
    <mergeCell ref="A1753:B1753"/>
    <mergeCell ref="A1754:B1754"/>
    <mergeCell ref="A1755:B1755"/>
    <mergeCell ref="A1756:B1756"/>
    <mergeCell ref="A1757:B1757"/>
    <mergeCell ref="A1812:B1812"/>
    <mergeCell ref="A1813:B1813"/>
    <mergeCell ref="A1814:B1814"/>
    <mergeCell ref="A1815:B1815"/>
    <mergeCell ref="A1816:B1816"/>
    <mergeCell ref="A1817:B1817"/>
    <mergeCell ref="A1818:B1818"/>
    <mergeCell ref="A1819:B1819"/>
    <mergeCell ref="A1820:B1820"/>
    <mergeCell ref="A1803:B1803"/>
    <mergeCell ref="A1804:B1804"/>
    <mergeCell ref="A1805:B1805"/>
    <mergeCell ref="A1806:B1806"/>
    <mergeCell ref="A1807:B1807"/>
    <mergeCell ref="A1808:B1808"/>
    <mergeCell ref="A1809:B1809"/>
    <mergeCell ref="A1810:B1810"/>
    <mergeCell ref="A1811:B1811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848:B1848"/>
    <mergeCell ref="A1849:B1849"/>
    <mergeCell ref="A1850:B1850"/>
    <mergeCell ref="A1851:B1851"/>
    <mergeCell ref="A1852:B1852"/>
    <mergeCell ref="A1853:B1853"/>
    <mergeCell ref="A1854:B1854"/>
    <mergeCell ref="A1855:B1855"/>
    <mergeCell ref="A1856:B1856"/>
    <mergeCell ref="A1839:B1839"/>
    <mergeCell ref="A1840:B1840"/>
    <mergeCell ref="A1841:B1841"/>
    <mergeCell ref="A1842:B1842"/>
    <mergeCell ref="A1843:B1843"/>
    <mergeCell ref="A1844:B1844"/>
    <mergeCell ref="A1845:B1845"/>
    <mergeCell ref="A1846:B1846"/>
    <mergeCell ref="A1847:B1847"/>
    <mergeCell ref="A1830:B1830"/>
    <mergeCell ref="A1831:B1831"/>
    <mergeCell ref="A1832:B1832"/>
    <mergeCell ref="A1833:B1833"/>
    <mergeCell ref="A1834:B1834"/>
    <mergeCell ref="A1835:B1835"/>
    <mergeCell ref="A1836:B1836"/>
    <mergeCell ref="A1837:B1837"/>
    <mergeCell ref="A1838:B1838"/>
    <mergeCell ref="A1821:B1821"/>
    <mergeCell ref="A1822:B1822"/>
    <mergeCell ref="A1823:B1823"/>
    <mergeCell ref="A1824:B1824"/>
    <mergeCell ref="A1825:B1825"/>
    <mergeCell ref="A1826:B1826"/>
    <mergeCell ref="A1827:B1827"/>
    <mergeCell ref="A1828:B1828"/>
    <mergeCell ref="A1829:B1829"/>
    <mergeCell ref="A1884:B1884"/>
    <mergeCell ref="A1885:B1885"/>
    <mergeCell ref="A1886:B1886"/>
    <mergeCell ref="A1887:B1887"/>
    <mergeCell ref="A1888:B1888"/>
    <mergeCell ref="A1889:B1889"/>
    <mergeCell ref="A1890:B1890"/>
    <mergeCell ref="A1891:B1891"/>
    <mergeCell ref="A1892:B1892"/>
    <mergeCell ref="A1875:B1875"/>
    <mergeCell ref="A1876:B1876"/>
    <mergeCell ref="A1877:B1877"/>
    <mergeCell ref="A1878:B1878"/>
    <mergeCell ref="A1879:B1879"/>
    <mergeCell ref="A1880:B1880"/>
    <mergeCell ref="A1881:B1881"/>
    <mergeCell ref="A1882:B1882"/>
    <mergeCell ref="A1883:B1883"/>
    <mergeCell ref="A1866:B1866"/>
    <mergeCell ref="A1867:B1867"/>
    <mergeCell ref="A1868:B1868"/>
    <mergeCell ref="A1869:B1869"/>
    <mergeCell ref="A1870:B1870"/>
    <mergeCell ref="A1871:B1871"/>
    <mergeCell ref="A1872:B1872"/>
    <mergeCell ref="A1873:B1873"/>
    <mergeCell ref="A1874:B1874"/>
    <mergeCell ref="A1857:B1857"/>
    <mergeCell ref="A1858:B1858"/>
    <mergeCell ref="A1859:B1859"/>
    <mergeCell ref="A1860:B1860"/>
    <mergeCell ref="A1861:B1861"/>
    <mergeCell ref="A1862:B1862"/>
    <mergeCell ref="A1863:B1863"/>
    <mergeCell ref="A1864:B1864"/>
    <mergeCell ref="A1865:B1865"/>
    <mergeCell ref="A1920:B1920"/>
    <mergeCell ref="A1921:B1921"/>
    <mergeCell ref="A1922:B1922"/>
    <mergeCell ref="A1923:B1923"/>
    <mergeCell ref="A1924:B1924"/>
    <mergeCell ref="A1925:B1925"/>
    <mergeCell ref="A1926:B1926"/>
    <mergeCell ref="A1927:B1927"/>
    <mergeCell ref="A1928:B1928"/>
    <mergeCell ref="A1911:B1911"/>
    <mergeCell ref="A1912:B1912"/>
    <mergeCell ref="A1913:B1913"/>
    <mergeCell ref="A1914:B1914"/>
    <mergeCell ref="A1915:B1915"/>
    <mergeCell ref="A1916:B1916"/>
    <mergeCell ref="A1917:B1917"/>
    <mergeCell ref="A1918:B1918"/>
    <mergeCell ref="A1919:B1919"/>
    <mergeCell ref="A1902:B1902"/>
    <mergeCell ref="A1903:B1903"/>
    <mergeCell ref="A1904:B1904"/>
    <mergeCell ref="A1905:B1905"/>
    <mergeCell ref="A1906:B1906"/>
    <mergeCell ref="A1907:B1907"/>
    <mergeCell ref="A1908:B1908"/>
    <mergeCell ref="A1909:B1909"/>
    <mergeCell ref="A1910:B1910"/>
    <mergeCell ref="A1893:B1893"/>
    <mergeCell ref="A1894:B1894"/>
    <mergeCell ref="A1895:B1895"/>
    <mergeCell ref="A1896:B1896"/>
    <mergeCell ref="A1897:B1897"/>
    <mergeCell ref="A1898:B1898"/>
    <mergeCell ref="A1899:B1899"/>
    <mergeCell ref="A1900:B1900"/>
    <mergeCell ref="A1901:B1901"/>
    <mergeCell ref="A1956:B1956"/>
    <mergeCell ref="A1957:B1957"/>
    <mergeCell ref="A1958:B1958"/>
    <mergeCell ref="A1959:B1959"/>
    <mergeCell ref="A1960:B1960"/>
    <mergeCell ref="A1961:B1961"/>
    <mergeCell ref="A1962:B1962"/>
    <mergeCell ref="A1963:B1963"/>
    <mergeCell ref="A1964:B1964"/>
    <mergeCell ref="A1947:B1947"/>
    <mergeCell ref="A1948:B1948"/>
    <mergeCell ref="A1949:B1949"/>
    <mergeCell ref="A1950:B1950"/>
    <mergeCell ref="A1951:B1951"/>
    <mergeCell ref="A1952:B1952"/>
    <mergeCell ref="A1953:B1953"/>
    <mergeCell ref="A1954:B1954"/>
    <mergeCell ref="A1955:B1955"/>
    <mergeCell ref="A1938:B1938"/>
    <mergeCell ref="A1939:B1939"/>
    <mergeCell ref="A1940:B1940"/>
    <mergeCell ref="A1941:B1941"/>
    <mergeCell ref="A1942:B1942"/>
    <mergeCell ref="A1943:B1943"/>
    <mergeCell ref="A1944:B1944"/>
    <mergeCell ref="A1945:B1945"/>
    <mergeCell ref="A1946:B1946"/>
    <mergeCell ref="A1929:B1929"/>
    <mergeCell ref="A1930:B1930"/>
    <mergeCell ref="A1931:B1931"/>
    <mergeCell ref="A1932:B1932"/>
    <mergeCell ref="A1933:B1933"/>
    <mergeCell ref="A1934:B1934"/>
    <mergeCell ref="A1935:B1935"/>
    <mergeCell ref="A1936:B1936"/>
    <mergeCell ref="A1937:B1937"/>
    <mergeCell ref="A1992:B1992"/>
    <mergeCell ref="A1993:B1993"/>
    <mergeCell ref="A1994:B1994"/>
    <mergeCell ref="A1995:B1995"/>
    <mergeCell ref="A1996:B1996"/>
    <mergeCell ref="A1997:B1997"/>
    <mergeCell ref="A1998:B1998"/>
    <mergeCell ref="A1999:B1999"/>
    <mergeCell ref="A2000:B2000"/>
    <mergeCell ref="A1983:B1983"/>
    <mergeCell ref="A1984:B1984"/>
    <mergeCell ref="A1985:B1985"/>
    <mergeCell ref="A1986:B1986"/>
    <mergeCell ref="A1987:B1987"/>
    <mergeCell ref="A1988:B1988"/>
    <mergeCell ref="A1989:B1989"/>
    <mergeCell ref="A1990:B1990"/>
    <mergeCell ref="A1991:B1991"/>
    <mergeCell ref="A1974:B1974"/>
    <mergeCell ref="A1975:B1975"/>
    <mergeCell ref="A1976:B1976"/>
    <mergeCell ref="A1977:B1977"/>
    <mergeCell ref="A1978:B1978"/>
    <mergeCell ref="A1979:B1979"/>
    <mergeCell ref="A1980:B1980"/>
    <mergeCell ref="A1981:B1981"/>
    <mergeCell ref="A1982:B1982"/>
    <mergeCell ref="A1965:B1965"/>
    <mergeCell ref="A1966:B1966"/>
    <mergeCell ref="A1967:B1967"/>
    <mergeCell ref="A1968:B1968"/>
    <mergeCell ref="A1969:B1969"/>
    <mergeCell ref="A1970:B1970"/>
    <mergeCell ref="A1971:B1971"/>
    <mergeCell ref="A1972:B1972"/>
    <mergeCell ref="A1973:B1973"/>
    <mergeCell ref="A2028:B2028"/>
    <mergeCell ref="A2029:B2029"/>
    <mergeCell ref="A2030:B2030"/>
    <mergeCell ref="A2031:B2031"/>
    <mergeCell ref="A2032:B2032"/>
    <mergeCell ref="A2033:B2033"/>
    <mergeCell ref="A2034:B2034"/>
    <mergeCell ref="A2035:B2035"/>
    <mergeCell ref="A2036:B2036"/>
    <mergeCell ref="A2019:B2019"/>
    <mergeCell ref="A2020:B2020"/>
    <mergeCell ref="A2021:B2021"/>
    <mergeCell ref="A2022:B2022"/>
    <mergeCell ref="A2023:B2023"/>
    <mergeCell ref="A2024:B2024"/>
    <mergeCell ref="A2025:B2025"/>
    <mergeCell ref="A2026:B2026"/>
    <mergeCell ref="A2027:B2027"/>
    <mergeCell ref="A2010:B2010"/>
    <mergeCell ref="A2011:B2011"/>
    <mergeCell ref="A2012:B2012"/>
    <mergeCell ref="A2013:B2013"/>
    <mergeCell ref="A2014:B2014"/>
    <mergeCell ref="A2015:B2015"/>
    <mergeCell ref="A2016:B2016"/>
    <mergeCell ref="A2017:B2017"/>
    <mergeCell ref="A2018:B2018"/>
    <mergeCell ref="A2001:B2001"/>
    <mergeCell ref="A2002:B2002"/>
    <mergeCell ref="A2003:B2003"/>
    <mergeCell ref="A2004:B2004"/>
    <mergeCell ref="A2005:B2005"/>
    <mergeCell ref="A2006:B2006"/>
    <mergeCell ref="A2007:B2007"/>
    <mergeCell ref="A2008:B2008"/>
    <mergeCell ref="A2009:B2009"/>
    <mergeCell ref="A2064:B2064"/>
    <mergeCell ref="A2065:B2065"/>
    <mergeCell ref="A2066:B2066"/>
    <mergeCell ref="A2067:B2067"/>
    <mergeCell ref="A2068:B2068"/>
    <mergeCell ref="A2069:B2069"/>
    <mergeCell ref="A2070:B2070"/>
    <mergeCell ref="A2071:B2071"/>
    <mergeCell ref="A2072:B2072"/>
    <mergeCell ref="A2055:B2055"/>
    <mergeCell ref="A2056:B2056"/>
    <mergeCell ref="A2057:B2057"/>
    <mergeCell ref="A2058:B2058"/>
    <mergeCell ref="A2059:B2059"/>
    <mergeCell ref="A2060:B2060"/>
    <mergeCell ref="A2061:B2061"/>
    <mergeCell ref="A2062:B2062"/>
    <mergeCell ref="A2063:B2063"/>
    <mergeCell ref="A2046:B2046"/>
    <mergeCell ref="A2047:B2047"/>
    <mergeCell ref="A2048:B2048"/>
    <mergeCell ref="A2049:B2049"/>
    <mergeCell ref="A2050:B2050"/>
    <mergeCell ref="A2051:B2051"/>
    <mergeCell ref="A2052:B2052"/>
    <mergeCell ref="A2053:B2053"/>
    <mergeCell ref="A2054:B2054"/>
    <mergeCell ref="A2037:B2037"/>
    <mergeCell ref="A2038:B2038"/>
    <mergeCell ref="A2039:B2039"/>
    <mergeCell ref="A2040:B2040"/>
    <mergeCell ref="A2041:B2041"/>
    <mergeCell ref="A2042:B2042"/>
    <mergeCell ref="A2043:B2043"/>
    <mergeCell ref="A2044:B2044"/>
    <mergeCell ref="A2045:B2045"/>
    <mergeCell ref="A2100:B2100"/>
    <mergeCell ref="A2101:B2101"/>
    <mergeCell ref="A2102:B2102"/>
    <mergeCell ref="A2103:B2103"/>
    <mergeCell ref="A2104:B2104"/>
    <mergeCell ref="A2105:B2105"/>
    <mergeCell ref="A2106:B2106"/>
    <mergeCell ref="A2107:B2107"/>
    <mergeCell ref="A2108:B2108"/>
    <mergeCell ref="A2091:B2091"/>
    <mergeCell ref="A2092:B2092"/>
    <mergeCell ref="A2093:B2093"/>
    <mergeCell ref="A2094:B2094"/>
    <mergeCell ref="A2095:B2095"/>
    <mergeCell ref="A2096:B2096"/>
    <mergeCell ref="A2097:B2097"/>
    <mergeCell ref="A2098:B2098"/>
    <mergeCell ref="A2099:B2099"/>
    <mergeCell ref="A2082:B2082"/>
    <mergeCell ref="A2083:B2083"/>
    <mergeCell ref="A2084:B2084"/>
    <mergeCell ref="A2085:B2085"/>
    <mergeCell ref="A2086:B2086"/>
    <mergeCell ref="A2087:B2087"/>
    <mergeCell ref="A2088:B2088"/>
    <mergeCell ref="A2089:B2089"/>
    <mergeCell ref="A2090:B2090"/>
    <mergeCell ref="A2073:B2073"/>
    <mergeCell ref="A2074:B2074"/>
    <mergeCell ref="A2075:B2075"/>
    <mergeCell ref="A2076:B2076"/>
    <mergeCell ref="A2077:B2077"/>
    <mergeCell ref="A2078:B2078"/>
    <mergeCell ref="A2079:B2079"/>
    <mergeCell ref="A2080:B2080"/>
    <mergeCell ref="A2081:B2081"/>
    <mergeCell ref="A2136:B2136"/>
    <mergeCell ref="A2137:B2137"/>
    <mergeCell ref="A2138:B2138"/>
    <mergeCell ref="A2139:B2139"/>
    <mergeCell ref="A2140:B2140"/>
    <mergeCell ref="A2141:B2141"/>
    <mergeCell ref="A2142:B2142"/>
    <mergeCell ref="A2143:B2143"/>
    <mergeCell ref="A2144:B2144"/>
    <mergeCell ref="A2127:B2127"/>
    <mergeCell ref="A2128:B2128"/>
    <mergeCell ref="A2129:B2129"/>
    <mergeCell ref="A2130:B2130"/>
    <mergeCell ref="A2131:B2131"/>
    <mergeCell ref="A2132:B2132"/>
    <mergeCell ref="A2133:B2133"/>
    <mergeCell ref="A2134:B2134"/>
    <mergeCell ref="A2135:B2135"/>
    <mergeCell ref="A2118:B2118"/>
    <mergeCell ref="A2119:B2119"/>
    <mergeCell ref="A2120:B2120"/>
    <mergeCell ref="A2121:B2121"/>
    <mergeCell ref="A2122:B2122"/>
    <mergeCell ref="A2123:B2123"/>
    <mergeCell ref="A2124:B2124"/>
    <mergeCell ref="A2125:B2125"/>
    <mergeCell ref="A2126:B2126"/>
    <mergeCell ref="A2109:B2109"/>
    <mergeCell ref="A2110:B2110"/>
    <mergeCell ref="A2111:B2111"/>
    <mergeCell ref="A2112:B2112"/>
    <mergeCell ref="A2113:B2113"/>
    <mergeCell ref="A2114:B2114"/>
    <mergeCell ref="A2115:B2115"/>
    <mergeCell ref="A2116:B2116"/>
    <mergeCell ref="A2117:B2117"/>
    <mergeCell ref="A2172:B2172"/>
    <mergeCell ref="A2173:B2173"/>
    <mergeCell ref="A2174:B2174"/>
    <mergeCell ref="A2175:B2175"/>
    <mergeCell ref="A2176:B2176"/>
    <mergeCell ref="A2177:B2177"/>
    <mergeCell ref="A2178:B2178"/>
    <mergeCell ref="A2179:B2179"/>
    <mergeCell ref="A2180:B2180"/>
    <mergeCell ref="A2163:B2163"/>
    <mergeCell ref="A2164:B2164"/>
    <mergeCell ref="A2165:B2165"/>
    <mergeCell ref="A2166:B2166"/>
    <mergeCell ref="A2167:B2167"/>
    <mergeCell ref="A2168:B2168"/>
    <mergeCell ref="A2169:B2169"/>
    <mergeCell ref="A2170:B2170"/>
    <mergeCell ref="A2171:B2171"/>
    <mergeCell ref="A2154:B2154"/>
    <mergeCell ref="A2155:B2155"/>
    <mergeCell ref="A2156:B2156"/>
    <mergeCell ref="A2157:B2157"/>
    <mergeCell ref="A2158:B2158"/>
    <mergeCell ref="A2159:B2159"/>
    <mergeCell ref="A2160:B2160"/>
    <mergeCell ref="A2161:B2161"/>
    <mergeCell ref="A2162:B2162"/>
    <mergeCell ref="A2145:B2145"/>
    <mergeCell ref="A2146:B2146"/>
    <mergeCell ref="A2147:B2147"/>
    <mergeCell ref="A2148:B2148"/>
    <mergeCell ref="A2149:B2149"/>
    <mergeCell ref="A2150:B2150"/>
    <mergeCell ref="A2151:B2151"/>
    <mergeCell ref="A2152:B2152"/>
    <mergeCell ref="A2153:B2153"/>
    <mergeCell ref="A2208:B2208"/>
    <mergeCell ref="A2209:B2209"/>
    <mergeCell ref="A2210:B2210"/>
    <mergeCell ref="A2211:B2211"/>
    <mergeCell ref="A2212:B2212"/>
    <mergeCell ref="A2213:B2213"/>
    <mergeCell ref="A2214:B2214"/>
    <mergeCell ref="A2215:B2215"/>
    <mergeCell ref="A2216:B2216"/>
    <mergeCell ref="A2199:B2199"/>
    <mergeCell ref="A2200:B2200"/>
    <mergeCell ref="A2201:B2201"/>
    <mergeCell ref="A2202:B2202"/>
    <mergeCell ref="A2203:B2203"/>
    <mergeCell ref="A2204:B2204"/>
    <mergeCell ref="A2205:B2205"/>
    <mergeCell ref="A2206:B2206"/>
    <mergeCell ref="A2207:B2207"/>
    <mergeCell ref="A2190:B2190"/>
    <mergeCell ref="A2191:B2191"/>
    <mergeCell ref="A2192:B2192"/>
    <mergeCell ref="A2193:B2193"/>
    <mergeCell ref="A2194:B2194"/>
    <mergeCell ref="A2195:B2195"/>
    <mergeCell ref="A2196:B2196"/>
    <mergeCell ref="A2197:B2197"/>
    <mergeCell ref="A2198:B2198"/>
    <mergeCell ref="A2181:B2181"/>
    <mergeCell ref="A2182:B2182"/>
    <mergeCell ref="A2183:B2183"/>
    <mergeCell ref="A2184:B2184"/>
    <mergeCell ref="A2185:B2185"/>
    <mergeCell ref="A2186:B2186"/>
    <mergeCell ref="A2187:B2187"/>
    <mergeCell ref="A2188:B2188"/>
    <mergeCell ref="A2189:B2189"/>
    <mergeCell ref="A2244:B2244"/>
    <mergeCell ref="A2245:B2245"/>
    <mergeCell ref="A2246:B2246"/>
    <mergeCell ref="A2247:B2247"/>
    <mergeCell ref="A2248:B2248"/>
    <mergeCell ref="A2249:B2249"/>
    <mergeCell ref="A2250:B2250"/>
    <mergeCell ref="A2251:B2251"/>
    <mergeCell ref="A2252:B2252"/>
    <mergeCell ref="A2235:B2235"/>
    <mergeCell ref="A2236:B2236"/>
    <mergeCell ref="A2237:B2237"/>
    <mergeCell ref="A2238:B2238"/>
    <mergeCell ref="A2239:B2239"/>
    <mergeCell ref="A2240:B2240"/>
    <mergeCell ref="A2241:B2241"/>
    <mergeCell ref="A2242:B2242"/>
    <mergeCell ref="A2243:B2243"/>
    <mergeCell ref="A2226:B2226"/>
    <mergeCell ref="A2227:B2227"/>
    <mergeCell ref="A2228:B2228"/>
    <mergeCell ref="A2229:B2229"/>
    <mergeCell ref="A2230:B2230"/>
    <mergeCell ref="A2231:B2231"/>
    <mergeCell ref="A2232:B2232"/>
    <mergeCell ref="A2233:B2233"/>
    <mergeCell ref="A2234:B2234"/>
    <mergeCell ref="A2217:B2217"/>
    <mergeCell ref="A2218:B2218"/>
    <mergeCell ref="A2219:B2219"/>
    <mergeCell ref="A2220:B2220"/>
    <mergeCell ref="A2221:B2221"/>
    <mergeCell ref="A2222:B2222"/>
    <mergeCell ref="A2223:B2223"/>
    <mergeCell ref="A2224:B2224"/>
    <mergeCell ref="A2225:B2225"/>
    <mergeCell ref="A2280:B2280"/>
    <mergeCell ref="A2281:B2281"/>
    <mergeCell ref="A2282:B2282"/>
    <mergeCell ref="A2283:B2283"/>
    <mergeCell ref="A2284:B2284"/>
    <mergeCell ref="A2285:B2285"/>
    <mergeCell ref="A2286:B2286"/>
    <mergeCell ref="A2287:B2287"/>
    <mergeCell ref="A2288:B2288"/>
    <mergeCell ref="A2271:B2271"/>
    <mergeCell ref="A2272:B2272"/>
    <mergeCell ref="A2273:B2273"/>
    <mergeCell ref="A2274:B2274"/>
    <mergeCell ref="A2275:B2275"/>
    <mergeCell ref="A2276:B2276"/>
    <mergeCell ref="A2277:B2277"/>
    <mergeCell ref="A2278:B2278"/>
    <mergeCell ref="A2279:B2279"/>
    <mergeCell ref="A2262:B2262"/>
    <mergeCell ref="A2263:B2263"/>
    <mergeCell ref="A2264:B2264"/>
    <mergeCell ref="A2265:B2265"/>
    <mergeCell ref="A2266:B2266"/>
    <mergeCell ref="A2267:B2267"/>
    <mergeCell ref="A2268:B2268"/>
    <mergeCell ref="A2269:B2269"/>
    <mergeCell ref="A2270:B2270"/>
    <mergeCell ref="A2253:B2253"/>
    <mergeCell ref="A2254:B2254"/>
    <mergeCell ref="A2255:B2255"/>
    <mergeCell ref="A2256:B2256"/>
    <mergeCell ref="A2257:B2257"/>
    <mergeCell ref="A2258:B2258"/>
    <mergeCell ref="A2259:B2259"/>
    <mergeCell ref="A2260:B2260"/>
    <mergeCell ref="A2261:B2261"/>
    <mergeCell ref="A2316:B2316"/>
    <mergeCell ref="A2317:B2317"/>
    <mergeCell ref="A2318:B2318"/>
    <mergeCell ref="A2319:B2319"/>
    <mergeCell ref="A2320:B2320"/>
    <mergeCell ref="A2321:B2321"/>
    <mergeCell ref="A2322:B2322"/>
    <mergeCell ref="A2323:B2323"/>
    <mergeCell ref="A2307:B2307"/>
    <mergeCell ref="A2308:B2308"/>
    <mergeCell ref="A2309:B2309"/>
    <mergeCell ref="A2310:B2310"/>
    <mergeCell ref="A2311:B2311"/>
    <mergeCell ref="A2312:B2312"/>
    <mergeCell ref="A2313:B2313"/>
    <mergeCell ref="A2314:B2314"/>
    <mergeCell ref="A2315:B2315"/>
    <mergeCell ref="A2298:B2298"/>
    <mergeCell ref="A2299:B2299"/>
    <mergeCell ref="A2300:B2300"/>
    <mergeCell ref="A2301:B2301"/>
    <mergeCell ref="A2302:B2302"/>
    <mergeCell ref="A2303:B2303"/>
    <mergeCell ref="A2304:B2304"/>
    <mergeCell ref="A2305:B2305"/>
    <mergeCell ref="A2306:B2306"/>
    <mergeCell ref="A2289:B2289"/>
    <mergeCell ref="A2290:B2290"/>
    <mergeCell ref="A2291:B2291"/>
    <mergeCell ref="A2292:B2292"/>
    <mergeCell ref="A2293:B2293"/>
    <mergeCell ref="A2294:B2294"/>
    <mergeCell ref="A2295:B2295"/>
    <mergeCell ref="A2296:B2296"/>
    <mergeCell ref="A2297:B229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MS"&amp;9&amp;K008542INTERNA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D984-1839-498A-9511-0A914B8356A9}">
  <sheetPr codeName="Planilha23"/>
  <dimension ref="A1:AP61"/>
  <sheetViews>
    <sheetView showGridLines="0" tabSelected="1" showWhiteSpace="0" view="pageLayout" zoomScale="160" zoomScaleNormal="115" zoomScaleSheetLayoutView="100" zoomScalePageLayoutView="160" workbookViewId="0">
      <selection activeCell="H7" sqref="H7:AO7"/>
    </sheetView>
  </sheetViews>
  <sheetFormatPr defaultColWidth="9.1796875" defaultRowHeight="14.5" x14ac:dyDescent="0.35"/>
  <cols>
    <col min="1" max="1" width="0.81640625" customWidth="1"/>
    <col min="2" max="35" width="2.26953125" customWidth="1"/>
    <col min="36" max="41" width="2.1796875" customWidth="1"/>
    <col min="42" max="42" width="0.81640625" customWidth="1"/>
  </cols>
  <sheetData>
    <row r="1" spans="1:42" s="9" customFormat="1" ht="8.1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41" t="s">
        <v>1862</v>
      </c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51" t="str">
        <f>IF(OR(AND(H4&lt;&gt;"",H4&lt;&gt;"      /      /"),Q4&lt;&gt;"",AD4&lt;&gt;"",AO4&lt;&gt;"",AO4&lt;&gt;""),IF(H4&lt;&gt;"",IFERROR(YEAR(H4)&amp;"-",""),"")&amp;IF(Q4&lt;&gt;"",LEFT(Q4,FIND(":",Q4)-1)&amp;"-","")&amp;IF(AD4&lt;&gt;"",AD4&amp;"-Estação",""),"")</f>
        <v>2023-MC-RJMGCO-BMA-Estação</v>
      </c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</row>
    <row r="2" spans="1:42" ht="5.15" customHeight="1" x14ac:dyDescent="0.35">
      <c r="A2" s="3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4"/>
    </row>
    <row r="3" spans="1:42" s="9" customFormat="1" ht="8.15" customHeight="1" x14ac:dyDescent="0.25">
      <c r="A3" s="7"/>
      <c r="B3" s="42" t="s">
        <v>1863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8"/>
    </row>
    <row r="4" spans="1:42" ht="12" customHeight="1" x14ac:dyDescent="0.35">
      <c r="A4" s="3"/>
      <c r="B4" s="44" t="s">
        <v>1864</v>
      </c>
      <c r="C4" s="44"/>
      <c r="D4" s="44"/>
      <c r="E4" s="44"/>
      <c r="F4" s="44"/>
      <c r="G4" s="44"/>
      <c r="H4" s="52">
        <v>45286</v>
      </c>
      <c r="I4" s="52"/>
      <c r="J4" s="52"/>
      <c r="K4" s="52"/>
      <c r="L4" s="52"/>
      <c r="N4" s="44" t="s">
        <v>1865</v>
      </c>
      <c r="O4" s="44"/>
      <c r="P4" s="44"/>
      <c r="Q4" s="53" t="s">
        <v>31</v>
      </c>
      <c r="R4" s="53"/>
      <c r="S4" s="53"/>
      <c r="T4" s="53"/>
      <c r="U4" s="53"/>
      <c r="V4" s="53"/>
      <c r="W4" s="53"/>
      <c r="X4" s="53"/>
      <c r="Y4" s="53"/>
      <c r="Z4" s="53"/>
      <c r="AA4" s="44" t="s">
        <v>1866</v>
      </c>
      <c r="AB4" s="44"/>
      <c r="AC4" s="44"/>
      <c r="AD4" s="53" t="s">
        <v>224</v>
      </c>
      <c r="AE4" s="53"/>
      <c r="AF4" s="53"/>
      <c r="AG4" s="53"/>
      <c r="AH4" s="53"/>
      <c r="AI4" s="53"/>
      <c r="AJ4" s="14"/>
      <c r="AK4" s="14"/>
      <c r="AL4" s="14"/>
      <c r="AM4" s="14"/>
      <c r="AN4" s="14"/>
      <c r="AO4" s="14"/>
      <c r="AP4" s="4"/>
    </row>
    <row r="5" spans="1:42" ht="5.15" customHeight="1" x14ac:dyDescent="0.35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4"/>
    </row>
    <row r="6" spans="1:42" s="9" customFormat="1" ht="8.15" customHeight="1" x14ac:dyDescent="0.25">
      <c r="A6" s="7"/>
      <c r="B6" s="42" t="s">
        <v>1867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8"/>
    </row>
    <row r="7" spans="1:42" ht="12" customHeight="1" x14ac:dyDescent="0.35">
      <c r="A7" s="3"/>
      <c r="B7" s="44" t="s">
        <v>1868</v>
      </c>
      <c r="C7" s="44"/>
      <c r="D7" s="44"/>
      <c r="E7" s="44"/>
      <c r="F7" s="44"/>
      <c r="G7" s="44"/>
      <c r="H7" s="53" t="s">
        <v>1938</v>
      </c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4"/>
    </row>
    <row r="8" spans="1:42" ht="12" customHeight="1" x14ac:dyDescent="0.35">
      <c r="A8" s="3"/>
      <c r="B8" s="44" t="s">
        <v>1869</v>
      </c>
      <c r="C8" s="44"/>
      <c r="D8" s="44"/>
      <c r="E8" s="44"/>
      <c r="F8" s="44"/>
      <c r="G8" s="44"/>
      <c r="H8" s="49" t="s">
        <v>1939</v>
      </c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"/>
    </row>
    <row r="9" spans="1:42" ht="5.15" customHeight="1" x14ac:dyDescent="0.35">
      <c r="A9" s="5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6"/>
    </row>
    <row r="10" spans="1:42" ht="5.15" customHeight="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s="9" customFormat="1" ht="8.15" customHeight="1" x14ac:dyDescent="0.25">
      <c r="A11" s="10"/>
      <c r="B11" s="41" t="s">
        <v>1870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11"/>
      <c r="AP11" s="10"/>
    </row>
    <row r="12" spans="1:42" ht="5.15" customHeight="1" x14ac:dyDescent="0.3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4"/>
    </row>
    <row r="13" spans="1:42" s="9" customFormat="1" ht="8.15" customHeight="1" x14ac:dyDescent="0.25">
      <c r="A13" s="7"/>
      <c r="B13" s="42" t="s">
        <v>1871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54" t="s">
        <v>1872</v>
      </c>
      <c r="AK13" s="54"/>
      <c r="AL13" s="54"/>
      <c r="AM13" s="54"/>
      <c r="AN13" s="54"/>
      <c r="AO13" s="54"/>
      <c r="AP13" s="8"/>
    </row>
    <row r="14" spans="1:42" s="9" customFormat="1" ht="8.15" customHeight="1" x14ac:dyDescent="0.25">
      <c r="A14" s="7"/>
      <c r="B14" s="17"/>
      <c r="C14" s="42" t="s">
        <v>1873</v>
      </c>
      <c r="D14" s="42"/>
      <c r="E14" s="42"/>
      <c r="F14" s="42"/>
      <c r="G14" s="42"/>
      <c r="H14" s="47" t="s">
        <v>1874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 t="s">
        <v>1875</v>
      </c>
      <c r="W14" s="47"/>
      <c r="X14" s="47"/>
      <c r="Y14" s="47"/>
      <c r="Z14" s="47"/>
      <c r="AA14" s="47"/>
      <c r="AB14" s="47" t="s">
        <v>1876</v>
      </c>
      <c r="AC14" s="47"/>
      <c r="AD14" s="47"/>
      <c r="AE14" s="47"/>
      <c r="AF14" s="10" t="s">
        <v>1877</v>
      </c>
      <c r="AG14" s="10"/>
      <c r="AH14" s="10"/>
      <c r="AI14" s="27"/>
      <c r="AJ14" s="55" t="str">
        <f>IF(AND(H15="",H28=""),"[  ] Regular
[  ] Irregular",IF(Field_System_Form_Planned_Status(H15:U24,V15:AA24,AB15:AE24,AF15:AH24,H28:U47,V28:AE47,AF28:AH47)=FALSE,"[ X ] Irregular","[ X ] Regular"))</f>
        <v>[ X ] Regular</v>
      </c>
      <c r="AK14" s="56"/>
      <c r="AL14" s="56"/>
      <c r="AM14" s="56"/>
      <c r="AN14" s="56"/>
      <c r="AO14" s="57"/>
      <c r="AP14" s="8"/>
    </row>
    <row r="15" spans="1:42" ht="12" customHeight="1" x14ac:dyDescent="0.35">
      <c r="A15" s="3"/>
      <c r="B15" s="44" t="s">
        <v>1878</v>
      </c>
      <c r="C15" s="44"/>
      <c r="D15" s="44"/>
      <c r="E15" s="44"/>
      <c r="F15" s="44"/>
      <c r="G15" s="44"/>
      <c r="H15" s="49" t="s">
        <v>224</v>
      </c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V15" s="48" t="s">
        <v>1925</v>
      </c>
      <c r="W15" s="49"/>
      <c r="X15" s="49"/>
      <c r="Y15" s="49"/>
      <c r="Z15" s="49"/>
      <c r="AA15" s="50"/>
      <c r="AB15" s="48">
        <v>1012951925</v>
      </c>
      <c r="AC15" s="49"/>
      <c r="AD15" s="49"/>
      <c r="AE15" s="50"/>
      <c r="AF15" s="45">
        <v>1</v>
      </c>
      <c r="AG15" s="46"/>
      <c r="AH15" s="46"/>
      <c r="AI15" s="13"/>
      <c r="AJ15" s="58"/>
      <c r="AK15" s="59"/>
      <c r="AL15" s="59"/>
      <c r="AM15" s="59"/>
      <c r="AN15" s="59"/>
      <c r="AO15" s="60"/>
      <c r="AP15" s="4"/>
    </row>
    <row r="16" spans="1:42" ht="12" customHeight="1" x14ac:dyDescent="0.35">
      <c r="A16" s="3"/>
      <c r="B16" s="13"/>
      <c r="C16" s="13"/>
      <c r="D16" s="13"/>
      <c r="E16" s="13"/>
      <c r="F16" s="13"/>
      <c r="G16" s="13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V16" s="48"/>
      <c r="W16" s="49"/>
      <c r="X16" s="49"/>
      <c r="Y16" s="49"/>
      <c r="Z16" s="49"/>
      <c r="AA16" s="50"/>
      <c r="AB16" s="48"/>
      <c r="AC16" s="49"/>
      <c r="AD16" s="49"/>
      <c r="AE16" s="50"/>
      <c r="AF16" s="45"/>
      <c r="AG16" s="46"/>
      <c r="AH16" s="46"/>
      <c r="AI16" s="13"/>
      <c r="AJ16" s="58"/>
      <c r="AK16" s="59"/>
      <c r="AL16" s="59"/>
      <c r="AM16" s="59"/>
      <c r="AN16" s="59"/>
      <c r="AO16" s="60"/>
      <c r="AP16" s="4"/>
    </row>
    <row r="17" spans="1:42" ht="12" customHeight="1" x14ac:dyDescent="0.35">
      <c r="A17" s="3"/>
      <c r="B17" s="13"/>
      <c r="C17" s="13"/>
      <c r="D17" s="13"/>
      <c r="E17" s="13"/>
      <c r="F17" s="13"/>
      <c r="G17" s="13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V17" s="48"/>
      <c r="W17" s="49"/>
      <c r="X17" s="49"/>
      <c r="Y17" s="49"/>
      <c r="Z17" s="49"/>
      <c r="AA17" s="50"/>
      <c r="AB17" s="48"/>
      <c r="AC17" s="49"/>
      <c r="AD17" s="49"/>
      <c r="AE17" s="50"/>
      <c r="AF17" s="45"/>
      <c r="AG17" s="46"/>
      <c r="AH17" s="46"/>
      <c r="AI17" s="13"/>
      <c r="AJ17" s="58"/>
      <c r="AK17" s="59"/>
      <c r="AL17" s="59"/>
      <c r="AM17" s="59"/>
      <c r="AN17" s="59"/>
      <c r="AO17" s="60"/>
      <c r="AP17" s="4"/>
    </row>
    <row r="18" spans="1:42" ht="12" customHeight="1" x14ac:dyDescent="0.35">
      <c r="A18" s="3"/>
      <c r="B18" s="13"/>
      <c r="C18" s="13"/>
      <c r="D18" s="13"/>
      <c r="E18" s="13"/>
      <c r="F18" s="13"/>
      <c r="G18" s="13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V18" s="48"/>
      <c r="W18" s="49"/>
      <c r="X18" s="49"/>
      <c r="Y18" s="49"/>
      <c r="Z18" s="49"/>
      <c r="AA18" s="50"/>
      <c r="AB18" s="48"/>
      <c r="AC18" s="49"/>
      <c r="AD18" s="49"/>
      <c r="AE18" s="50"/>
      <c r="AF18" s="45"/>
      <c r="AG18" s="46"/>
      <c r="AH18" s="46"/>
      <c r="AI18" s="13"/>
      <c r="AJ18" s="58"/>
      <c r="AK18" s="59"/>
      <c r="AL18" s="59"/>
      <c r="AM18" s="59"/>
      <c r="AN18" s="59"/>
      <c r="AO18" s="60"/>
      <c r="AP18" s="4"/>
    </row>
    <row r="19" spans="1:42" ht="12" customHeight="1" x14ac:dyDescent="0.35">
      <c r="A19" s="3"/>
      <c r="B19" s="13"/>
      <c r="C19" s="13"/>
      <c r="D19" s="13"/>
      <c r="E19" s="13"/>
      <c r="F19" s="13"/>
      <c r="G19" s="13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V19" s="48"/>
      <c r="W19" s="49"/>
      <c r="X19" s="49"/>
      <c r="Y19" s="49"/>
      <c r="Z19" s="49"/>
      <c r="AA19" s="50"/>
      <c r="AB19" s="48"/>
      <c r="AC19" s="49"/>
      <c r="AD19" s="49"/>
      <c r="AE19" s="50"/>
      <c r="AF19" s="45"/>
      <c r="AG19" s="46"/>
      <c r="AH19" s="46"/>
      <c r="AI19" s="13"/>
      <c r="AJ19" s="58"/>
      <c r="AK19" s="59"/>
      <c r="AL19" s="59"/>
      <c r="AM19" s="59"/>
      <c r="AN19" s="59"/>
      <c r="AO19" s="60"/>
      <c r="AP19" s="4"/>
    </row>
    <row r="20" spans="1:42" ht="12" customHeight="1" x14ac:dyDescent="0.35">
      <c r="A20" s="3"/>
      <c r="B20" s="13"/>
      <c r="C20" s="13"/>
      <c r="D20" s="13"/>
      <c r="E20" s="13"/>
      <c r="F20" s="13"/>
      <c r="G20" s="13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V20" s="48"/>
      <c r="W20" s="49"/>
      <c r="X20" s="49"/>
      <c r="Y20" s="49"/>
      <c r="Z20" s="49"/>
      <c r="AA20" s="50"/>
      <c r="AB20" s="48"/>
      <c r="AC20" s="49"/>
      <c r="AD20" s="49"/>
      <c r="AE20" s="50"/>
      <c r="AF20" s="45"/>
      <c r="AG20" s="46"/>
      <c r="AH20" s="46"/>
      <c r="AI20" s="13"/>
      <c r="AJ20" s="58"/>
      <c r="AK20" s="59"/>
      <c r="AL20" s="59"/>
      <c r="AM20" s="59"/>
      <c r="AN20" s="59"/>
      <c r="AO20" s="60"/>
      <c r="AP20" s="4"/>
    </row>
    <row r="21" spans="1:42" ht="12" customHeight="1" x14ac:dyDescent="0.35">
      <c r="A21" s="3"/>
      <c r="B21" s="13"/>
      <c r="C21" s="13"/>
      <c r="D21" s="13"/>
      <c r="E21" s="13"/>
      <c r="F21" s="13"/>
      <c r="G21" s="13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  <c r="V21" s="48"/>
      <c r="W21" s="49"/>
      <c r="X21" s="49"/>
      <c r="Y21" s="49"/>
      <c r="Z21" s="49"/>
      <c r="AA21" s="50"/>
      <c r="AB21" s="48"/>
      <c r="AC21" s="49"/>
      <c r="AD21" s="49"/>
      <c r="AE21" s="50"/>
      <c r="AF21" s="45"/>
      <c r="AG21" s="46"/>
      <c r="AH21" s="46"/>
      <c r="AI21" s="13"/>
      <c r="AJ21" s="58"/>
      <c r="AK21" s="59"/>
      <c r="AL21" s="59"/>
      <c r="AM21" s="59"/>
      <c r="AN21" s="59"/>
      <c r="AO21" s="60"/>
      <c r="AP21" s="4"/>
    </row>
    <row r="22" spans="1:42" ht="12" customHeight="1" x14ac:dyDescent="0.35">
      <c r="A22" s="3"/>
      <c r="B22" s="19"/>
      <c r="C22" s="13"/>
      <c r="D22" s="13"/>
      <c r="E22" s="13"/>
      <c r="F22" s="13"/>
      <c r="G22" s="13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8"/>
      <c r="W22" s="49"/>
      <c r="X22" s="49"/>
      <c r="Y22" s="49"/>
      <c r="Z22" s="49"/>
      <c r="AA22" s="50"/>
      <c r="AB22" s="48"/>
      <c r="AC22" s="49"/>
      <c r="AD22" s="49"/>
      <c r="AE22" s="50"/>
      <c r="AF22" s="45"/>
      <c r="AG22" s="46"/>
      <c r="AH22" s="46"/>
      <c r="AI22" s="13"/>
      <c r="AJ22" s="58"/>
      <c r="AK22" s="59"/>
      <c r="AL22" s="59"/>
      <c r="AM22" s="59"/>
      <c r="AN22" s="59"/>
      <c r="AO22" s="60"/>
      <c r="AP22" s="4"/>
    </row>
    <row r="23" spans="1:42" ht="12" customHeight="1" x14ac:dyDescent="0.35">
      <c r="A23" s="3"/>
      <c r="B23" s="19"/>
      <c r="C23" s="13"/>
      <c r="D23" s="13"/>
      <c r="E23" s="13"/>
      <c r="F23" s="13"/>
      <c r="G23" s="13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  <c r="V23" s="48"/>
      <c r="W23" s="49"/>
      <c r="X23" s="49"/>
      <c r="Y23" s="49"/>
      <c r="Z23" s="49"/>
      <c r="AA23" s="50"/>
      <c r="AB23" s="48"/>
      <c r="AC23" s="49"/>
      <c r="AD23" s="49"/>
      <c r="AE23" s="50"/>
      <c r="AF23" s="45"/>
      <c r="AG23" s="46"/>
      <c r="AH23" s="46"/>
      <c r="AI23" s="13"/>
      <c r="AJ23" s="58"/>
      <c r="AK23" s="59"/>
      <c r="AL23" s="59"/>
      <c r="AM23" s="59"/>
      <c r="AN23" s="59"/>
      <c r="AO23" s="60"/>
      <c r="AP23" s="4"/>
    </row>
    <row r="24" spans="1:42" ht="12" customHeight="1" x14ac:dyDescent="0.35">
      <c r="A24" s="3"/>
      <c r="B24" s="19"/>
      <c r="C24" s="13"/>
      <c r="D24" s="13"/>
      <c r="E24" s="13"/>
      <c r="F24" s="13"/>
      <c r="G24" s="13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  <c r="V24" s="48"/>
      <c r="W24" s="49"/>
      <c r="X24" s="49"/>
      <c r="Y24" s="49"/>
      <c r="Z24" s="49"/>
      <c r="AA24" s="50"/>
      <c r="AB24" s="48"/>
      <c r="AC24" s="49"/>
      <c r="AD24" s="49"/>
      <c r="AE24" s="50"/>
      <c r="AF24" s="45"/>
      <c r="AG24" s="46"/>
      <c r="AH24" s="46"/>
      <c r="AI24" s="13"/>
      <c r="AJ24" s="61"/>
      <c r="AK24" s="62"/>
      <c r="AL24" s="62"/>
      <c r="AM24" s="62"/>
      <c r="AN24" s="62"/>
      <c r="AO24" s="63"/>
      <c r="AP24" s="4"/>
    </row>
    <row r="25" spans="1:42" ht="5.15" customHeight="1" x14ac:dyDescent="0.35">
      <c r="A25" s="3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29"/>
      <c r="AK25" s="29"/>
      <c r="AL25" s="29"/>
      <c r="AM25" s="29"/>
      <c r="AN25" s="29"/>
      <c r="AO25" s="29"/>
      <c r="AP25" s="4"/>
    </row>
    <row r="26" spans="1:42" s="9" customFormat="1" ht="8.15" customHeight="1" x14ac:dyDescent="0.25">
      <c r="A26" s="7"/>
      <c r="B26" s="42" t="s">
        <v>1879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29"/>
      <c r="AK26" s="29"/>
      <c r="AL26" s="29"/>
      <c r="AM26" s="29"/>
      <c r="AN26" s="29"/>
      <c r="AO26" s="29"/>
      <c r="AP26" s="8"/>
    </row>
    <row r="27" spans="1:42" s="9" customFormat="1" ht="8.15" customHeight="1" x14ac:dyDescent="0.25">
      <c r="A27" s="7"/>
      <c r="B27" s="17"/>
      <c r="C27" s="42" t="s">
        <v>1880</v>
      </c>
      <c r="D27" s="42"/>
      <c r="E27" s="42"/>
      <c r="F27" s="42"/>
      <c r="G27" s="42"/>
      <c r="H27" s="47" t="s">
        <v>1874</v>
      </c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 t="s">
        <v>1863</v>
      </c>
      <c r="W27" s="47"/>
      <c r="X27" s="47"/>
      <c r="Y27" s="47"/>
      <c r="Z27" s="10"/>
      <c r="AA27" s="10"/>
      <c r="AB27" s="10"/>
      <c r="AC27" s="10"/>
      <c r="AD27" s="10"/>
      <c r="AE27" s="10"/>
      <c r="AF27" s="10" t="s">
        <v>1877</v>
      </c>
      <c r="AG27" s="10"/>
      <c r="AH27" s="10"/>
      <c r="AI27" s="27"/>
      <c r="AJ27" s="55" t="str">
        <f>IF(AND(H15="",H28=""),"[  ] Regular
[  ] Irregular",IF(Field_System_Form_Verified_Status(H15:U24,V15:AA24,AB15:AE24,AF15:AH24,H28:U47,V28:AE47,AF28:AH47)=FALSE,"[ X ] Irregular","[ X ] Regular"))</f>
        <v>[ X ] Regular</v>
      </c>
      <c r="AK27" s="56"/>
      <c r="AL27" s="56"/>
      <c r="AM27" s="56"/>
      <c r="AN27" s="56"/>
      <c r="AO27" s="57"/>
      <c r="AP27" s="8"/>
    </row>
    <row r="28" spans="1:42" ht="12" customHeight="1" x14ac:dyDescent="0.35">
      <c r="A28" s="3"/>
      <c r="B28" s="44" t="s">
        <v>1878</v>
      </c>
      <c r="C28" s="44"/>
      <c r="D28" s="44"/>
      <c r="E28" s="44"/>
      <c r="F28" s="44"/>
      <c r="G28" s="44"/>
      <c r="H28" s="49" t="s">
        <v>224</v>
      </c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  <c r="V28" s="48" t="s">
        <v>17</v>
      </c>
      <c r="W28" s="49"/>
      <c r="X28" s="49"/>
      <c r="Y28" s="49"/>
      <c r="Z28" s="49"/>
      <c r="AA28" s="49"/>
      <c r="AB28" s="49"/>
      <c r="AC28" s="49"/>
      <c r="AD28" s="49"/>
      <c r="AE28" s="50"/>
      <c r="AF28" s="45">
        <v>1</v>
      </c>
      <c r="AG28" s="46"/>
      <c r="AH28" s="46"/>
      <c r="AI28" s="13"/>
      <c r="AJ28" s="58"/>
      <c r="AK28" s="59"/>
      <c r="AL28" s="59"/>
      <c r="AM28" s="59"/>
      <c r="AN28" s="59"/>
      <c r="AO28" s="60"/>
      <c r="AP28" s="4"/>
    </row>
    <row r="29" spans="1:42" ht="12" customHeight="1" x14ac:dyDescent="0.35">
      <c r="A29" s="3"/>
      <c r="B29" s="13"/>
      <c r="C29" s="13"/>
      <c r="D29" s="13"/>
      <c r="E29" s="13"/>
      <c r="F29" s="13"/>
      <c r="G29" s="13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  <c r="V29" s="48"/>
      <c r="W29" s="49"/>
      <c r="X29" s="49"/>
      <c r="Y29" s="49"/>
      <c r="Z29" s="49"/>
      <c r="AA29" s="49"/>
      <c r="AB29" s="49"/>
      <c r="AC29" s="49"/>
      <c r="AD29" s="49"/>
      <c r="AE29" s="50"/>
      <c r="AF29" s="45"/>
      <c r="AG29" s="46"/>
      <c r="AH29" s="46"/>
      <c r="AI29" s="13"/>
      <c r="AJ29" s="58"/>
      <c r="AK29" s="59"/>
      <c r="AL29" s="59"/>
      <c r="AM29" s="59"/>
      <c r="AN29" s="59"/>
      <c r="AO29" s="60"/>
      <c r="AP29" s="4"/>
    </row>
    <row r="30" spans="1:42" ht="12" customHeight="1" x14ac:dyDescent="0.35">
      <c r="A30" s="3"/>
      <c r="B30" s="13"/>
      <c r="C30" s="13"/>
      <c r="D30" s="13"/>
      <c r="E30" s="13"/>
      <c r="F30" s="13"/>
      <c r="G30" s="13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  <c r="V30" s="48"/>
      <c r="W30" s="49"/>
      <c r="X30" s="49"/>
      <c r="Y30" s="49"/>
      <c r="Z30" s="49"/>
      <c r="AA30" s="49"/>
      <c r="AB30" s="49"/>
      <c r="AC30" s="49"/>
      <c r="AD30" s="49"/>
      <c r="AE30" s="50"/>
      <c r="AF30" s="45"/>
      <c r="AG30" s="46"/>
      <c r="AH30" s="46"/>
      <c r="AI30" s="13"/>
      <c r="AJ30" s="58"/>
      <c r="AK30" s="59"/>
      <c r="AL30" s="59"/>
      <c r="AM30" s="59"/>
      <c r="AN30" s="59"/>
      <c r="AO30" s="60"/>
      <c r="AP30" s="4"/>
    </row>
    <row r="31" spans="1:42" ht="12" customHeight="1" x14ac:dyDescent="0.35">
      <c r="A31" s="3"/>
      <c r="B31" s="13"/>
      <c r="C31" s="13"/>
      <c r="D31" s="13"/>
      <c r="E31" s="13"/>
      <c r="F31" s="13"/>
      <c r="G31" s="13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  <c r="V31" s="48"/>
      <c r="W31" s="49"/>
      <c r="X31" s="49"/>
      <c r="Y31" s="49"/>
      <c r="Z31" s="49"/>
      <c r="AA31" s="49"/>
      <c r="AB31" s="49"/>
      <c r="AC31" s="49"/>
      <c r="AD31" s="49"/>
      <c r="AE31" s="50"/>
      <c r="AF31" s="45"/>
      <c r="AG31" s="46"/>
      <c r="AH31" s="46"/>
      <c r="AI31" s="13"/>
      <c r="AJ31" s="58"/>
      <c r="AK31" s="59"/>
      <c r="AL31" s="59"/>
      <c r="AM31" s="59"/>
      <c r="AN31" s="59"/>
      <c r="AO31" s="60"/>
      <c r="AP31" s="4"/>
    </row>
    <row r="32" spans="1:42" ht="12" customHeight="1" x14ac:dyDescent="0.35">
      <c r="A32" s="3"/>
      <c r="B32" s="13"/>
      <c r="C32" s="13"/>
      <c r="D32" s="13"/>
      <c r="E32" s="13"/>
      <c r="F32" s="13"/>
      <c r="G32" s="13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V32" s="48"/>
      <c r="W32" s="49"/>
      <c r="X32" s="49"/>
      <c r="Y32" s="49"/>
      <c r="Z32" s="49"/>
      <c r="AA32" s="49"/>
      <c r="AB32" s="49"/>
      <c r="AC32" s="49"/>
      <c r="AD32" s="49"/>
      <c r="AE32" s="50"/>
      <c r="AF32" s="45"/>
      <c r="AG32" s="46"/>
      <c r="AH32" s="46"/>
      <c r="AI32" s="13"/>
      <c r="AJ32" s="58"/>
      <c r="AK32" s="59"/>
      <c r="AL32" s="59"/>
      <c r="AM32" s="59"/>
      <c r="AN32" s="59"/>
      <c r="AO32" s="60"/>
      <c r="AP32" s="4"/>
    </row>
    <row r="33" spans="1:42" ht="12" customHeight="1" x14ac:dyDescent="0.35">
      <c r="A33" s="3"/>
      <c r="B33" s="13"/>
      <c r="C33" s="13"/>
      <c r="D33" s="13"/>
      <c r="E33" s="13"/>
      <c r="F33" s="13"/>
      <c r="G33" s="13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V33" s="48"/>
      <c r="W33" s="49"/>
      <c r="X33" s="49"/>
      <c r="Y33" s="49"/>
      <c r="Z33" s="49"/>
      <c r="AA33" s="49"/>
      <c r="AB33" s="49"/>
      <c r="AC33" s="49"/>
      <c r="AD33" s="49"/>
      <c r="AE33" s="50"/>
      <c r="AF33" s="45"/>
      <c r="AG33" s="46"/>
      <c r="AH33" s="46"/>
      <c r="AI33" s="13"/>
      <c r="AJ33" s="58"/>
      <c r="AK33" s="59"/>
      <c r="AL33" s="59"/>
      <c r="AM33" s="59"/>
      <c r="AN33" s="59"/>
      <c r="AO33" s="60"/>
      <c r="AP33" s="4"/>
    </row>
    <row r="34" spans="1:42" ht="12" customHeight="1" x14ac:dyDescent="0.35">
      <c r="A34" s="3"/>
      <c r="B34" s="13"/>
      <c r="C34" s="13"/>
      <c r="D34" s="13"/>
      <c r="E34" s="13"/>
      <c r="F34" s="13"/>
      <c r="G34" s="13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V34" s="48"/>
      <c r="W34" s="49"/>
      <c r="X34" s="49"/>
      <c r="Y34" s="49"/>
      <c r="Z34" s="49"/>
      <c r="AA34" s="49"/>
      <c r="AB34" s="49"/>
      <c r="AC34" s="49"/>
      <c r="AD34" s="49"/>
      <c r="AE34" s="50"/>
      <c r="AF34" s="45"/>
      <c r="AG34" s="46"/>
      <c r="AH34" s="46"/>
      <c r="AI34" s="13"/>
      <c r="AJ34" s="58"/>
      <c r="AK34" s="59"/>
      <c r="AL34" s="59"/>
      <c r="AM34" s="59"/>
      <c r="AN34" s="59"/>
      <c r="AO34" s="60"/>
      <c r="AP34" s="4"/>
    </row>
    <row r="35" spans="1:42" ht="12" customHeight="1" x14ac:dyDescent="0.35">
      <c r="A35" s="3"/>
      <c r="B35" s="13"/>
      <c r="C35" s="13"/>
      <c r="D35" s="13"/>
      <c r="E35" s="13"/>
      <c r="F35" s="13"/>
      <c r="G35" s="13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V35" s="48"/>
      <c r="W35" s="49"/>
      <c r="X35" s="49"/>
      <c r="Y35" s="49"/>
      <c r="Z35" s="49"/>
      <c r="AA35" s="49"/>
      <c r="AB35" s="49"/>
      <c r="AC35" s="49"/>
      <c r="AD35" s="49"/>
      <c r="AE35" s="50"/>
      <c r="AF35" s="45"/>
      <c r="AG35" s="46"/>
      <c r="AH35" s="46"/>
      <c r="AI35" s="13"/>
      <c r="AJ35" s="58"/>
      <c r="AK35" s="59"/>
      <c r="AL35" s="59"/>
      <c r="AM35" s="59"/>
      <c r="AN35" s="59"/>
      <c r="AO35" s="60"/>
      <c r="AP35" s="4"/>
    </row>
    <row r="36" spans="1:42" ht="12" customHeight="1" x14ac:dyDescent="0.35">
      <c r="A36" s="3"/>
      <c r="B36" s="19"/>
      <c r="C36" s="13"/>
      <c r="D36" s="13"/>
      <c r="E36" s="13"/>
      <c r="F36" s="13"/>
      <c r="G36" s="13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V36" s="48"/>
      <c r="W36" s="49"/>
      <c r="X36" s="49"/>
      <c r="Y36" s="49"/>
      <c r="Z36" s="49"/>
      <c r="AA36" s="49"/>
      <c r="AB36" s="49"/>
      <c r="AC36" s="49"/>
      <c r="AD36" s="49"/>
      <c r="AE36" s="50"/>
      <c r="AF36" s="45"/>
      <c r="AG36" s="46"/>
      <c r="AH36" s="46"/>
      <c r="AI36" s="13"/>
      <c r="AJ36" s="58"/>
      <c r="AK36" s="59"/>
      <c r="AL36" s="59"/>
      <c r="AM36" s="59"/>
      <c r="AN36" s="59"/>
      <c r="AO36" s="60"/>
      <c r="AP36" s="4"/>
    </row>
    <row r="37" spans="1:42" ht="12" customHeight="1" x14ac:dyDescent="0.35">
      <c r="A37" s="3"/>
      <c r="B37" s="19"/>
      <c r="C37" s="13"/>
      <c r="D37" s="13"/>
      <c r="E37" s="13"/>
      <c r="F37" s="13"/>
      <c r="G37" s="13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  <c r="V37" s="48"/>
      <c r="W37" s="49"/>
      <c r="X37" s="49"/>
      <c r="Y37" s="49"/>
      <c r="Z37" s="49"/>
      <c r="AA37" s="49"/>
      <c r="AB37" s="49"/>
      <c r="AC37" s="49"/>
      <c r="AD37" s="49"/>
      <c r="AE37" s="50"/>
      <c r="AF37" s="45"/>
      <c r="AG37" s="46"/>
      <c r="AH37" s="46"/>
      <c r="AI37" s="13"/>
      <c r="AJ37" s="58"/>
      <c r="AK37" s="59"/>
      <c r="AL37" s="59"/>
      <c r="AM37" s="59"/>
      <c r="AN37" s="59"/>
      <c r="AO37" s="60"/>
      <c r="AP37" s="4"/>
    </row>
    <row r="38" spans="1:42" ht="12" customHeight="1" x14ac:dyDescent="0.35">
      <c r="A38" s="3"/>
      <c r="B38" s="19"/>
      <c r="C38" s="13"/>
      <c r="D38" s="13"/>
      <c r="E38" s="13"/>
      <c r="F38" s="13"/>
      <c r="G38" s="13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  <c r="V38" s="48"/>
      <c r="W38" s="49"/>
      <c r="X38" s="49"/>
      <c r="Y38" s="49"/>
      <c r="Z38" s="49"/>
      <c r="AA38" s="49"/>
      <c r="AB38" s="49"/>
      <c r="AC38" s="49"/>
      <c r="AD38" s="49"/>
      <c r="AE38" s="50"/>
      <c r="AF38" s="45"/>
      <c r="AG38" s="46"/>
      <c r="AH38" s="46"/>
      <c r="AI38" s="13"/>
      <c r="AJ38" s="58"/>
      <c r="AK38" s="59"/>
      <c r="AL38" s="59"/>
      <c r="AM38" s="59"/>
      <c r="AN38" s="59"/>
      <c r="AO38" s="60"/>
      <c r="AP38" s="4"/>
    </row>
    <row r="39" spans="1:42" ht="12" customHeight="1" x14ac:dyDescent="0.35">
      <c r="A39" s="3"/>
      <c r="B39" s="13"/>
      <c r="C39" s="13"/>
      <c r="D39" s="13"/>
      <c r="E39" s="13"/>
      <c r="F39" s="13"/>
      <c r="G39" s="13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V39" s="48"/>
      <c r="W39" s="49"/>
      <c r="X39" s="49"/>
      <c r="Y39" s="49"/>
      <c r="Z39" s="49"/>
      <c r="AA39" s="49"/>
      <c r="AB39" s="49"/>
      <c r="AC39" s="49"/>
      <c r="AD39" s="49"/>
      <c r="AE39" s="50"/>
      <c r="AF39" s="45"/>
      <c r="AG39" s="46"/>
      <c r="AH39" s="46"/>
      <c r="AI39" s="13"/>
      <c r="AJ39" s="58"/>
      <c r="AK39" s="59"/>
      <c r="AL39" s="59"/>
      <c r="AM39" s="59"/>
      <c r="AN39" s="59"/>
      <c r="AO39" s="60"/>
      <c r="AP39" s="4"/>
    </row>
    <row r="40" spans="1:42" ht="12" customHeight="1" x14ac:dyDescent="0.35">
      <c r="A40" s="3"/>
      <c r="B40" s="13"/>
      <c r="C40" s="13"/>
      <c r="D40" s="13"/>
      <c r="E40" s="13"/>
      <c r="F40" s="13"/>
      <c r="G40" s="13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V40" s="48"/>
      <c r="W40" s="49"/>
      <c r="X40" s="49"/>
      <c r="Y40" s="49"/>
      <c r="Z40" s="49"/>
      <c r="AA40" s="49"/>
      <c r="AB40" s="49"/>
      <c r="AC40" s="49"/>
      <c r="AD40" s="49"/>
      <c r="AE40" s="50"/>
      <c r="AF40" s="45"/>
      <c r="AG40" s="46"/>
      <c r="AH40" s="46"/>
      <c r="AI40" s="13"/>
      <c r="AJ40" s="58"/>
      <c r="AK40" s="59"/>
      <c r="AL40" s="59"/>
      <c r="AM40" s="59"/>
      <c r="AN40" s="59"/>
      <c r="AO40" s="60"/>
      <c r="AP40" s="4"/>
    </row>
    <row r="41" spans="1:42" ht="12" customHeight="1" x14ac:dyDescent="0.35">
      <c r="A41" s="3"/>
      <c r="B41" s="13"/>
      <c r="C41" s="13"/>
      <c r="D41" s="13"/>
      <c r="E41" s="13"/>
      <c r="F41" s="13"/>
      <c r="G41" s="13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V41" s="48"/>
      <c r="W41" s="49"/>
      <c r="X41" s="49"/>
      <c r="Y41" s="49"/>
      <c r="Z41" s="49"/>
      <c r="AA41" s="49"/>
      <c r="AB41" s="49"/>
      <c r="AC41" s="49"/>
      <c r="AD41" s="49"/>
      <c r="AE41" s="50"/>
      <c r="AF41" s="45"/>
      <c r="AG41" s="46"/>
      <c r="AH41" s="46"/>
      <c r="AI41" s="13"/>
      <c r="AJ41" s="58"/>
      <c r="AK41" s="59"/>
      <c r="AL41" s="59"/>
      <c r="AM41" s="59"/>
      <c r="AN41" s="59"/>
      <c r="AO41" s="60"/>
      <c r="AP41" s="4"/>
    </row>
    <row r="42" spans="1:42" ht="12" customHeight="1" x14ac:dyDescent="0.35">
      <c r="A42" s="3"/>
      <c r="B42" s="13"/>
      <c r="C42" s="13"/>
      <c r="D42" s="13"/>
      <c r="E42" s="13"/>
      <c r="F42" s="13"/>
      <c r="G42" s="13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V42" s="48"/>
      <c r="W42" s="49"/>
      <c r="X42" s="49"/>
      <c r="Y42" s="49"/>
      <c r="Z42" s="49"/>
      <c r="AA42" s="49"/>
      <c r="AB42" s="49"/>
      <c r="AC42" s="49"/>
      <c r="AD42" s="49"/>
      <c r="AE42" s="50"/>
      <c r="AF42" s="45"/>
      <c r="AG42" s="46"/>
      <c r="AH42" s="46"/>
      <c r="AI42" s="13"/>
      <c r="AJ42" s="58"/>
      <c r="AK42" s="59"/>
      <c r="AL42" s="59"/>
      <c r="AM42" s="59"/>
      <c r="AN42" s="59"/>
      <c r="AO42" s="60"/>
      <c r="AP42" s="4"/>
    </row>
    <row r="43" spans="1:42" ht="12" customHeight="1" x14ac:dyDescent="0.35">
      <c r="A43" s="3"/>
      <c r="B43" s="13"/>
      <c r="C43" s="13"/>
      <c r="D43" s="13"/>
      <c r="E43" s="13"/>
      <c r="F43" s="13"/>
      <c r="G43" s="13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  <c r="V43" s="48"/>
      <c r="W43" s="49"/>
      <c r="X43" s="49"/>
      <c r="Y43" s="49"/>
      <c r="Z43" s="49"/>
      <c r="AA43" s="49"/>
      <c r="AB43" s="49"/>
      <c r="AC43" s="49"/>
      <c r="AD43" s="49"/>
      <c r="AE43" s="50"/>
      <c r="AF43" s="45"/>
      <c r="AG43" s="46"/>
      <c r="AH43" s="46"/>
      <c r="AI43" s="13"/>
      <c r="AJ43" s="58"/>
      <c r="AK43" s="59"/>
      <c r="AL43" s="59"/>
      <c r="AM43" s="59"/>
      <c r="AN43" s="59"/>
      <c r="AO43" s="60"/>
      <c r="AP43" s="4"/>
    </row>
    <row r="44" spans="1:42" ht="12" customHeight="1" x14ac:dyDescent="0.35">
      <c r="A44" s="3"/>
      <c r="B44" s="13"/>
      <c r="C44" s="13"/>
      <c r="D44" s="13"/>
      <c r="E44" s="13"/>
      <c r="F44" s="13"/>
      <c r="G44" s="13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  <c r="V44" s="48"/>
      <c r="W44" s="49"/>
      <c r="X44" s="49"/>
      <c r="Y44" s="49"/>
      <c r="Z44" s="49"/>
      <c r="AA44" s="49"/>
      <c r="AB44" s="49"/>
      <c r="AC44" s="49"/>
      <c r="AD44" s="49"/>
      <c r="AE44" s="50"/>
      <c r="AF44" s="45"/>
      <c r="AG44" s="46"/>
      <c r="AH44" s="46"/>
      <c r="AI44" s="13"/>
      <c r="AJ44" s="58"/>
      <c r="AK44" s="59"/>
      <c r="AL44" s="59"/>
      <c r="AM44" s="59"/>
      <c r="AN44" s="59"/>
      <c r="AO44" s="60"/>
      <c r="AP44" s="4"/>
    </row>
    <row r="45" spans="1:42" ht="12" customHeight="1" x14ac:dyDescent="0.35">
      <c r="A45" s="3"/>
      <c r="B45" s="19"/>
      <c r="C45" s="13"/>
      <c r="D45" s="13"/>
      <c r="E45" s="13"/>
      <c r="F45" s="13"/>
      <c r="G45" s="13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V45" s="48"/>
      <c r="W45" s="49"/>
      <c r="X45" s="49"/>
      <c r="Y45" s="49"/>
      <c r="Z45" s="49"/>
      <c r="AA45" s="49"/>
      <c r="AB45" s="49"/>
      <c r="AC45" s="49"/>
      <c r="AD45" s="49"/>
      <c r="AE45" s="50"/>
      <c r="AF45" s="45"/>
      <c r="AG45" s="46"/>
      <c r="AH45" s="46"/>
      <c r="AI45" s="13"/>
      <c r="AJ45" s="58"/>
      <c r="AK45" s="59"/>
      <c r="AL45" s="59"/>
      <c r="AM45" s="59"/>
      <c r="AN45" s="59"/>
      <c r="AO45" s="60"/>
      <c r="AP45" s="4"/>
    </row>
    <row r="46" spans="1:42" ht="12" customHeight="1" x14ac:dyDescent="0.35">
      <c r="A46" s="3"/>
      <c r="B46" s="19"/>
      <c r="C46" s="13"/>
      <c r="D46" s="13"/>
      <c r="E46" s="13"/>
      <c r="F46" s="13"/>
      <c r="G46" s="13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V46" s="48"/>
      <c r="W46" s="49"/>
      <c r="X46" s="49"/>
      <c r="Y46" s="49"/>
      <c r="Z46" s="49"/>
      <c r="AA46" s="49"/>
      <c r="AB46" s="49"/>
      <c r="AC46" s="49"/>
      <c r="AD46" s="49"/>
      <c r="AE46" s="50"/>
      <c r="AF46" s="45"/>
      <c r="AG46" s="46"/>
      <c r="AH46" s="46"/>
      <c r="AI46" s="13"/>
      <c r="AJ46" s="58"/>
      <c r="AK46" s="59"/>
      <c r="AL46" s="59"/>
      <c r="AM46" s="59"/>
      <c r="AN46" s="59"/>
      <c r="AO46" s="60"/>
      <c r="AP46" s="4"/>
    </row>
    <row r="47" spans="1:42" ht="12" customHeight="1" x14ac:dyDescent="0.35">
      <c r="A47" s="3"/>
      <c r="B47" s="19"/>
      <c r="C47" s="13"/>
      <c r="D47" s="13"/>
      <c r="E47" s="13"/>
      <c r="F47" s="13"/>
      <c r="G47" s="13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V47" s="48"/>
      <c r="W47" s="49"/>
      <c r="X47" s="49"/>
      <c r="Y47" s="49"/>
      <c r="Z47" s="49"/>
      <c r="AA47" s="49"/>
      <c r="AB47" s="49"/>
      <c r="AC47" s="49"/>
      <c r="AD47" s="49"/>
      <c r="AE47" s="50"/>
      <c r="AF47" s="45"/>
      <c r="AG47" s="46"/>
      <c r="AH47" s="46"/>
      <c r="AI47" s="13"/>
      <c r="AJ47" s="61"/>
      <c r="AK47" s="62"/>
      <c r="AL47" s="62"/>
      <c r="AM47" s="62"/>
      <c r="AN47" s="62"/>
      <c r="AO47" s="63"/>
      <c r="AP47" s="4"/>
    </row>
    <row r="48" spans="1:42" ht="5.15" customHeight="1" x14ac:dyDescent="0.35">
      <c r="A48" s="3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30"/>
      <c r="AA48" s="30"/>
      <c r="AB48" s="1"/>
      <c r="AC48" s="1"/>
      <c r="AD48" s="1"/>
      <c r="AE48" s="1"/>
      <c r="AF48" s="1"/>
      <c r="AG48" s="1"/>
      <c r="AH48" s="1"/>
      <c r="AI48" s="1"/>
      <c r="AJ48" s="29"/>
      <c r="AK48" s="29"/>
      <c r="AL48" s="29"/>
      <c r="AM48" s="29"/>
      <c r="AN48" s="29"/>
      <c r="AO48" s="29"/>
      <c r="AP48" s="4"/>
    </row>
    <row r="49" spans="1:42" ht="8.15" customHeight="1" x14ac:dyDescent="0.35">
      <c r="A49" s="3"/>
      <c r="B49" s="64" t="s">
        <v>1881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4"/>
    </row>
    <row r="50" spans="1:42" ht="8.15" customHeight="1" x14ac:dyDescent="0.35">
      <c r="A50" s="3"/>
      <c r="B50" s="64" t="s">
        <v>1882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5" t="s">
        <v>1883</v>
      </c>
      <c r="Y50" s="65"/>
      <c r="Z50" s="64" t="s">
        <v>1884</v>
      </c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4"/>
    </row>
    <row r="51" spans="1:42" ht="8.15" customHeight="1" x14ac:dyDescent="0.35">
      <c r="A51" s="3"/>
      <c r="B51" s="64" t="s">
        <v>1885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4"/>
    </row>
    <row r="52" spans="1:42" ht="8.15" customHeight="1" x14ac:dyDescent="0.35">
      <c r="A52" s="3"/>
      <c r="B52" s="64" t="s">
        <v>1886</v>
      </c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4"/>
    </row>
    <row r="53" spans="1:42" ht="8.15" customHeight="1" x14ac:dyDescent="0.35">
      <c r="A53" s="3"/>
      <c r="B53" s="64" t="s">
        <v>1887</v>
      </c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4"/>
    </row>
    <row r="54" spans="1:42" ht="8.15" customHeight="1" x14ac:dyDescent="0.35">
      <c r="A54" s="3"/>
      <c r="B54" s="64" t="s">
        <v>1888</v>
      </c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4"/>
    </row>
    <row r="55" spans="1:42" ht="5.15" customHeight="1" x14ac:dyDescent="0.35">
      <c r="A55" s="5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6"/>
    </row>
    <row r="56" spans="1:42" ht="5.1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s="9" customFormat="1" ht="8.15" customHeight="1" x14ac:dyDescent="0.25">
      <c r="A57" s="10"/>
      <c r="B57" s="41" t="s">
        <v>1889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11"/>
      <c r="AP57" s="10"/>
    </row>
    <row r="58" spans="1:42" ht="5.15" customHeight="1" x14ac:dyDescent="0.35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4"/>
    </row>
    <row r="59" spans="1:42" s="9" customFormat="1" ht="7.5" customHeight="1" x14ac:dyDescent="0.25">
      <c r="A59" s="7"/>
      <c r="B59" s="42" t="s">
        <v>1890</v>
      </c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8"/>
    </row>
    <row r="60" spans="1:42" ht="113.25" customHeight="1" x14ac:dyDescent="0.35">
      <c r="A60" s="3"/>
      <c r="B60" s="43" t="s">
        <v>1891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"/>
    </row>
    <row r="61" spans="1:42" ht="5.15" customHeight="1" x14ac:dyDescent="0.35">
      <c r="A61" s="5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6"/>
    </row>
  </sheetData>
  <sheetProtection algorithmName="SHA-512" hashValue="GZXQnq44tRpZEbIIFXmQLojttbj6Nw4ypDy+2OLUoMScieoSilwi8KfhdJgEyZqitRjR94vvYYnthEHcvLYuig==" saltValue="Bl0enjhTvOiS3uTXGDS4KA==" spinCount="100000" sheet="1" objects="1" scenarios="1"/>
  <protectedRanges>
    <protectedRange sqref="H15:AH24 H28:AH47" name="Sistema"/>
    <protectedRange sqref="H7:H8 AD4:AE4 Q4 H4:L4 T4" name="Identificação"/>
    <protectedRange sqref="B60:AO60" name="Observação_1"/>
  </protectedRanges>
  <dataConsolidate/>
  <mergeCells count="140">
    <mergeCell ref="B51:AO51"/>
    <mergeCell ref="B53:AO53"/>
    <mergeCell ref="B52:AO52"/>
    <mergeCell ref="B50:W50"/>
    <mergeCell ref="X50:Y50"/>
    <mergeCell ref="Z50:AO50"/>
    <mergeCell ref="AJ27:AO47"/>
    <mergeCell ref="B54:AO54"/>
    <mergeCell ref="B49:AO49"/>
    <mergeCell ref="V36:AE36"/>
    <mergeCell ref="AF36:AH36"/>
    <mergeCell ref="AF34:AH34"/>
    <mergeCell ref="AF35:AH35"/>
    <mergeCell ref="AF31:AH31"/>
    <mergeCell ref="AF29:AH29"/>
    <mergeCell ref="AF30:AH30"/>
    <mergeCell ref="H29:U29"/>
    <mergeCell ref="H35:U35"/>
    <mergeCell ref="H33:U33"/>
    <mergeCell ref="H34:U34"/>
    <mergeCell ref="H32:U32"/>
    <mergeCell ref="H27:U27"/>
    <mergeCell ref="H28:U28"/>
    <mergeCell ref="H31:U31"/>
    <mergeCell ref="AB15:AE15"/>
    <mergeCell ref="V15:AA15"/>
    <mergeCell ref="V16:AA16"/>
    <mergeCell ref="AB16:AE16"/>
    <mergeCell ref="V17:AA17"/>
    <mergeCell ref="AB17:AE17"/>
    <mergeCell ref="V18:AA18"/>
    <mergeCell ref="AB18:AE18"/>
    <mergeCell ref="V19:AA19"/>
    <mergeCell ref="AB19:AE19"/>
    <mergeCell ref="V21:AA21"/>
    <mergeCell ref="AB21:AE21"/>
    <mergeCell ref="V23:AA23"/>
    <mergeCell ref="AB23:AE23"/>
    <mergeCell ref="V24:AA24"/>
    <mergeCell ref="H18:U18"/>
    <mergeCell ref="H19:U19"/>
    <mergeCell ref="H20:U20"/>
    <mergeCell ref="H21:U21"/>
    <mergeCell ref="H22:U22"/>
    <mergeCell ref="H23:U23"/>
    <mergeCell ref="V22:AA22"/>
    <mergeCell ref="AB22:AE22"/>
    <mergeCell ref="H24:U24"/>
    <mergeCell ref="AB24:AE24"/>
    <mergeCell ref="V29:AE29"/>
    <mergeCell ref="V30:AE30"/>
    <mergeCell ref="V34:AE34"/>
    <mergeCell ref="V35:AE35"/>
    <mergeCell ref="V33:AE33"/>
    <mergeCell ref="V32:AE32"/>
    <mergeCell ref="V39:AE39"/>
    <mergeCell ref="V40:AE40"/>
    <mergeCell ref="H36:U36"/>
    <mergeCell ref="V41:AE41"/>
    <mergeCell ref="V42:AE42"/>
    <mergeCell ref="V43:AE43"/>
    <mergeCell ref="H39:U39"/>
    <mergeCell ref="H38:U38"/>
    <mergeCell ref="V38:AE38"/>
    <mergeCell ref="H40:U40"/>
    <mergeCell ref="H41:U41"/>
    <mergeCell ref="H30:U30"/>
    <mergeCell ref="V31:AE31"/>
    <mergeCell ref="H16:U16"/>
    <mergeCell ref="H17:U17"/>
    <mergeCell ref="AJ14:AO24"/>
    <mergeCell ref="AB14:AE14"/>
    <mergeCell ref="V14:AA14"/>
    <mergeCell ref="AF15:AH15"/>
    <mergeCell ref="AF47:AH47"/>
    <mergeCell ref="H46:U46"/>
    <mergeCell ref="H47:U47"/>
    <mergeCell ref="V46:AE46"/>
    <mergeCell ref="V47:AE47"/>
    <mergeCell ref="H37:U37"/>
    <mergeCell ref="V37:AE37"/>
    <mergeCell ref="AF44:AH44"/>
    <mergeCell ref="AF45:AH45"/>
    <mergeCell ref="H44:U44"/>
    <mergeCell ref="H45:U45"/>
    <mergeCell ref="V44:AE44"/>
    <mergeCell ref="V45:AE45"/>
    <mergeCell ref="AF42:AH42"/>
    <mergeCell ref="AF43:AH43"/>
    <mergeCell ref="AF40:AH40"/>
    <mergeCell ref="AF41:AH41"/>
    <mergeCell ref="AF37:AH37"/>
    <mergeCell ref="AF38:AH38"/>
    <mergeCell ref="AF33:AH33"/>
    <mergeCell ref="AF32:AH32"/>
    <mergeCell ref="V20:AA20"/>
    <mergeCell ref="AB20:AE20"/>
    <mergeCell ref="N1:AB1"/>
    <mergeCell ref="AC1:AP1"/>
    <mergeCell ref="B3:AO3"/>
    <mergeCell ref="B4:G4"/>
    <mergeCell ref="H4:L4"/>
    <mergeCell ref="N4:P4"/>
    <mergeCell ref="Q4:Z4"/>
    <mergeCell ref="AA4:AC4"/>
    <mergeCell ref="AD4:AI4"/>
    <mergeCell ref="B6:AO6"/>
    <mergeCell ref="B7:G7"/>
    <mergeCell ref="H7:AO7"/>
    <mergeCell ref="B8:G8"/>
    <mergeCell ref="H8:AO8"/>
    <mergeCell ref="B11:AN11"/>
    <mergeCell ref="B13:AI13"/>
    <mergeCell ref="AJ13:AO13"/>
    <mergeCell ref="AF17:AH17"/>
    <mergeCell ref="H15:U15"/>
    <mergeCell ref="B57:AN57"/>
    <mergeCell ref="B59:AO59"/>
    <mergeCell ref="B60:AO60"/>
    <mergeCell ref="C14:G14"/>
    <mergeCell ref="B15:G15"/>
    <mergeCell ref="AF16:AH16"/>
    <mergeCell ref="H14:U14"/>
    <mergeCell ref="AF22:AH22"/>
    <mergeCell ref="AF23:AH23"/>
    <mergeCell ref="AF20:AH20"/>
    <mergeCell ref="AF21:AH21"/>
    <mergeCell ref="AF18:AH18"/>
    <mergeCell ref="AF19:AH19"/>
    <mergeCell ref="B28:G28"/>
    <mergeCell ref="AF28:AH28"/>
    <mergeCell ref="AF39:AH39"/>
    <mergeCell ref="AF24:AH24"/>
    <mergeCell ref="C27:G27"/>
    <mergeCell ref="V27:Y27"/>
    <mergeCell ref="B26:AI26"/>
    <mergeCell ref="V28:AE28"/>
    <mergeCell ref="AF46:AH46"/>
    <mergeCell ref="H42:U42"/>
    <mergeCell ref="H43:U43"/>
  </mergeCells>
  <conditionalFormatting sqref="AJ14">
    <cfRule type="cellIs" dxfId="22" priority="33" operator="equal">
      <formula>"[ X ] Indeterminado"</formula>
    </cfRule>
    <cfRule type="containsText" dxfId="21" priority="34" operator="containsText" text="Alerta">
      <formula>NOT(ISERROR(SEARCH("Alerta",AJ14)))</formula>
    </cfRule>
    <cfRule type="cellIs" dxfId="20" priority="35" operator="equal">
      <formula>"[ X ] Irregular"</formula>
    </cfRule>
    <cfRule type="cellIs" dxfId="19" priority="36" operator="equal">
      <formula>"[ X ] Regular"</formula>
    </cfRule>
  </conditionalFormatting>
  <conditionalFormatting sqref="AJ27">
    <cfRule type="cellIs" dxfId="18" priority="47" operator="equal">
      <formula>"[ X ] Indeterminado"</formula>
    </cfRule>
    <cfRule type="containsText" dxfId="17" priority="72" operator="containsText" text="Alerta">
      <formula>NOT(ISERROR(SEARCH("Alerta",AJ27)))</formula>
    </cfRule>
    <cfRule type="cellIs" dxfId="16" priority="73" operator="equal">
      <formula>"[ X ] Irregular"</formula>
    </cfRule>
    <cfRule type="cellIs" dxfId="15" priority="74" operator="equal">
      <formula>"[ X ] Regular"</formula>
    </cfRule>
  </conditionalFormatting>
  <dataValidations count="1">
    <dataValidation type="list" allowBlank="1" showInputMessage="1" showErrorMessage="1" sqref="V15:AA24" xr:uid="{7622FA1B-BCC4-4A65-B193-F5246E22FFEC}">
      <mc:AlternateContent xmlns:x12ac="http://schemas.microsoft.com/office/spreadsheetml/2011/1/ac" xmlns:mc="http://schemas.openxmlformats.org/markup-compatibility/2006">
        <mc:Choice Requires="x12ac">
          <x12ac:list>"019 - SLP, A","019 - SLP, B","019 - SLP, C","019 - SLP, D","019 - SLP, E","019 - SLP, F","023 - SLMP, A","023 - SLMP, B",076 - SRP,108 - SLPR,"181 - SLPS, B","181 - SLPS, C","181 - SLPS, E","507 - SLMA, A","604 - SLMM, A","604 - SLMM, B","604 - SLMM, C"</x12ac:list>
        </mc:Choice>
        <mc:Fallback>
          <formula1>"019 - SLP, A,019 - SLP, B,019 - SLP, C,019 - SLP, D,019 - SLP, E,019 - SLP, F,023 - SLMP, A,023 - SLMP, B,076 - SRP,108 - SLPR,181 - SLPS, B,181 - SLPS, C,181 - SLPS, E,507 - SLMA, A,604 - SLMM, A,604 - SLMM, B,604 - SLMM, C"</formula1>
        </mc:Fallback>
      </mc:AlternateContent>
    </dataValidation>
  </dataValidations>
  <hyperlinks>
    <hyperlink ref="X50" r:id="rId1" xr:uid="{17A74FF7-11A7-48ED-A7DA-14FD5666F539}"/>
  </hyperlinks>
  <pageMargins left="0.39370078740157483" right="0.39370078740157483" top="0.78740157480314965" bottom="0.39370078740157483" header="0.31496062992125984" footer="0.31496062992125984"/>
  <pageSetup paperSize="9" orientation="portrait" r:id="rId2"/>
  <headerFooter>
    <oddHeader>&amp;L&amp;G&amp;C&amp;"Verdana,Normal"&amp;8
Formulário de vistoria de sistema de transmissão
Sistemas da Estação&amp;R&amp;G</oddHeader>
    <oddFooter>&amp;L&amp;"Calibri"&amp;11&amp;K000000&amp;"Tahoma,Normal"&amp;8Gestor: TIC/OI/TELED/RER_x000D_&amp;1#&amp;"Trebuchet MS"&amp;9&amp;K008542INTERNA&amp;R&amp;"Tahoma,Normal"&amp;8Página &amp;P/&amp;N - Novembro/2023 - Versão 1.49</oddFooter>
  </headerFooter>
  <legacyDrawingHF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77D342A3-D3C6-42DA-BF9A-FEC8649CC6D8}">
          <x14:formula1>
            <xm:f>Parâmetro!$A$3:$A$11</xm:f>
          </x14:formula1>
          <xm:sqref>H4:L4</xm:sqref>
        </x14:dataValidation>
        <x14:dataValidation type="list" allowBlank="1" showInputMessage="1" xr:uid="{92771402-237B-4B93-A763-75B54B4924D3}">
          <x14:formula1>
            <xm:f>Parâmetro!$A$276:$A$2323</xm:f>
          </x14:formula1>
          <xm:sqref>AD4</xm:sqref>
        </x14:dataValidation>
        <x14:dataValidation type="list" allowBlank="1" showInputMessage="1" xr:uid="{91E92243-5A03-4725-B5B5-4AE034B53033}">
          <x14:formula1>
            <xm:f>Parâmetro!$A$56:$A$83</xm:f>
          </x14:formula1>
          <xm:sqref>Q4</xm:sqref>
        </x14:dataValidation>
        <x14:dataValidation type="list" allowBlank="1" showInputMessage="1" showErrorMessage="1" xr:uid="{71C9AAD5-358E-4B47-A3C2-57A651D4B1A0}">
          <x14:formula1>
            <xm:f>Parâmetro!$A$16:$A$51</xm:f>
          </x14:formula1>
          <xm:sqref>V28:AE47</xm:sqref>
        </x14:dataValidation>
        <x14:dataValidation type="list" allowBlank="1" showInputMessage="1" xr:uid="{C706C8DF-4D89-4989-9CB8-B27533B6F2C4}">
          <x14:formula1>
            <xm:f>Parâmetro!$A$2328:$A$10519</xm:f>
          </x14:formula1>
          <xm:sqref>H15:U24 H28:U47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AP62"/>
  <sheetViews>
    <sheetView showGridLines="0" showWhiteSpace="0" view="pageLayout" zoomScale="160" zoomScaleNormal="115" zoomScaleSheetLayoutView="100" zoomScalePageLayoutView="160" workbookViewId="0">
      <selection activeCell="AQ7" sqref="AQ7"/>
    </sheetView>
  </sheetViews>
  <sheetFormatPr defaultColWidth="9.1796875" defaultRowHeight="14.5" x14ac:dyDescent="0.35"/>
  <cols>
    <col min="1" max="1" width="0.81640625" customWidth="1"/>
    <col min="2" max="35" width="2.26953125" customWidth="1"/>
    <col min="36" max="41" width="2.1796875" customWidth="1"/>
    <col min="42" max="42" width="0.81640625" customWidth="1"/>
  </cols>
  <sheetData>
    <row r="1" spans="1:42" s="9" customFormat="1" ht="8.1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41" t="s">
        <v>1862</v>
      </c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51" t="str">
        <f>IF(OR(AND(H4&lt;&gt;"",H4&lt;&gt;"      /      /"),Q4&lt;&gt;"",AD4&lt;&gt;"",AO4&lt;&gt;"",AO4&lt;&gt;""),IF(H4&lt;&gt;"",IFERROR(YEAR(H4)&amp;"-",""),"")&amp;IF(Q4&lt;&gt;"",LEFT(Q4,FIND(":",Q4)-1)&amp;"-","")&amp;IF(AD4&lt;&gt;"",AD4&amp;"-","")&amp;IF(AO4&lt;&gt;"",RIGHT("0"&amp;AO4,2),""),"")</f>
        <v>2023-MC-RJMGCO-BMA-01</v>
      </c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</row>
    <row r="2" spans="1:42" ht="5.15" customHeight="1" x14ac:dyDescent="0.35">
      <c r="A2" s="3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4"/>
    </row>
    <row r="3" spans="1:42" s="9" customFormat="1" ht="8.15" customHeight="1" x14ac:dyDescent="0.25">
      <c r="A3" s="7"/>
      <c r="B3" s="42" t="s">
        <v>1863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8"/>
    </row>
    <row r="4" spans="1:42" ht="12" customHeight="1" x14ac:dyDescent="0.35">
      <c r="A4" s="3"/>
      <c r="B4" s="44" t="s">
        <v>1864</v>
      </c>
      <c r="C4" s="44"/>
      <c r="D4" s="44"/>
      <c r="E4" s="44"/>
      <c r="F4" s="44"/>
      <c r="G4" s="44"/>
      <c r="H4" s="72">
        <f>IF(Estação!H4&lt;&gt;"",Estação!H4,"")</f>
        <v>45286</v>
      </c>
      <c r="I4" s="72"/>
      <c r="J4" s="72"/>
      <c r="K4" s="72"/>
      <c r="L4" s="72"/>
      <c r="N4" s="44" t="s">
        <v>1865</v>
      </c>
      <c r="O4" s="44"/>
      <c r="P4" s="44"/>
      <c r="Q4" s="70" t="str">
        <f>IF(Estação!Q4&lt;&gt;"",Estação!Q4,"")</f>
        <v>MC-RJMGCO: Rio de Janeiro</v>
      </c>
      <c r="R4" s="70"/>
      <c r="S4" s="70"/>
      <c r="T4" s="70"/>
      <c r="U4" s="70"/>
      <c r="V4" s="70"/>
      <c r="W4" s="70"/>
      <c r="X4" s="70"/>
      <c r="Y4" s="70"/>
      <c r="Z4" s="70"/>
      <c r="AA4" s="44" t="s">
        <v>1866</v>
      </c>
      <c r="AB4" s="44"/>
      <c r="AC4" s="44"/>
      <c r="AD4" s="70" t="str">
        <f>IF(Estação!AD4&lt;&gt;"",Estação!AD4,"")</f>
        <v>BMA</v>
      </c>
      <c r="AE4" s="70"/>
      <c r="AF4" s="70"/>
      <c r="AG4" s="70"/>
      <c r="AH4" s="70"/>
      <c r="AI4" s="70"/>
      <c r="AJ4" s="14"/>
      <c r="AK4" s="44" t="s">
        <v>1892</v>
      </c>
      <c r="AL4" s="44"/>
      <c r="AM4" s="44"/>
      <c r="AN4" s="44"/>
      <c r="AO4" s="26">
        <v>1</v>
      </c>
      <c r="AP4" s="4"/>
    </row>
    <row r="5" spans="1:42" ht="5.15" customHeight="1" x14ac:dyDescent="0.35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4"/>
    </row>
    <row r="6" spans="1:42" s="9" customFormat="1" ht="8.15" customHeight="1" x14ac:dyDescent="0.25">
      <c r="A6" s="7"/>
      <c r="B6" s="42" t="s">
        <v>1867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8"/>
    </row>
    <row r="7" spans="1:42" ht="12" customHeight="1" x14ac:dyDescent="0.35">
      <c r="A7" s="3"/>
      <c r="B7" s="44" t="s">
        <v>1868</v>
      </c>
      <c r="C7" s="44"/>
      <c r="D7" s="44"/>
      <c r="E7" s="44"/>
      <c r="F7" s="44"/>
      <c r="G7" s="44"/>
      <c r="H7" s="70" t="str">
        <f>IF(Estação!H7&lt;&gt;"",Estação!H7,"")</f>
        <v xml:space="preserve">SPREAD </v>
      </c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4"/>
    </row>
    <row r="8" spans="1:42" ht="12" customHeight="1" x14ac:dyDescent="0.35">
      <c r="A8" s="3"/>
      <c r="B8" s="44" t="s">
        <v>1869</v>
      </c>
      <c r="C8" s="44"/>
      <c r="D8" s="44"/>
      <c r="E8" s="44"/>
      <c r="F8" s="44"/>
      <c r="G8" s="44"/>
      <c r="H8" s="71" t="str">
        <f>IF(Estação!H8&lt;&gt;"",Estação!H8,"")</f>
        <v>IRVEM / Y9N1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4"/>
    </row>
    <row r="9" spans="1:42" ht="5.15" customHeight="1" x14ac:dyDescent="0.35">
      <c r="A9" s="3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4"/>
    </row>
    <row r="10" spans="1:42" s="9" customFormat="1" ht="8.15" customHeight="1" x14ac:dyDescent="0.25">
      <c r="A10" s="7"/>
      <c r="B10" s="42" t="s">
        <v>1874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8"/>
    </row>
    <row r="11" spans="1:42" ht="12" customHeight="1" x14ac:dyDescent="0.35">
      <c r="A11" s="3"/>
      <c r="B11" s="44" t="s">
        <v>1893</v>
      </c>
      <c r="C11" s="44"/>
      <c r="D11" s="44"/>
      <c r="E11" s="44"/>
      <c r="F11" s="44"/>
      <c r="G11" s="44"/>
      <c r="H11" s="53" t="s">
        <v>1927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4"/>
    </row>
    <row r="12" spans="1:42" ht="5.15" customHeight="1" x14ac:dyDescent="0.35">
      <c r="A12" s="5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6"/>
    </row>
    <row r="13" spans="1:42" ht="5.15" customHeigh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s="9" customFormat="1" ht="8.15" customHeight="1" x14ac:dyDescent="0.25">
      <c r="A14" s="10"/>
      <c r="B14" s="41" t="s">
        <v>1894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11"/>
      <c r="AP14" s="10"/>
    </row>
    <row r="15" spans="1:42" ht="5.15" customHeight="1" x14ac:dyDescent="0.35">
      <c r="A15" s="3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4"/>
    </row>
    <row r="16" spans="1:42" s="9" customFormat="1" ht="8.15" customHeight="1" x14ac:dyDescent="0.25">
      <c r="A16" s="7"/>
      <c r="B16" s="42" t="s">
        <v>1895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54" t="s">
        <v>1872</v>
      </c>
      <c r="AK16" s="54"/>
      <c r="AL16" s="54"/>
      <c r="AM16" s="54"/>
      <c r="AN16" s="54"/>
      <c r="AO16" s="54"/>
      <c r="AP16" s="8"/>
    </row>
    <row r="17" spans="1:42" ht="12" customHeight="1" x14ac:dyDescent="0.35">
      <c r="A17" s="3"/>
      <c r="B17" s="44" t="s">
        <v>1896</v>
      </c>
      <c r="C17" s="44"/>
      <c r="D17" s="44"/>
      <c r="E17" s="44"/>
      <c r="F17" s="44"/>
      <c r="G17" s="44"/>
      <c r="H17" s="53">
        <v>1012951925</v>
      </c>
      <c r="I17" s="53"/>
      <c r="J17" s="53"/>
      <c r="K17" s="53"/>
      <c r="L17" s="53"/>
      <c r="M17" s="53"/>
      <c r="N17" s="53"/>
      <c r="O17" s="53"/>
      <c r="P17" s="53"/>
      <c r="Q17" s="13"/>
      <c r="R17" s="14"/>
      <c r="S17" s="14"/>
      <c r="T17" s="14"/>
      <c r="U17" s="14"/>
      <c r="V17" s="14"/>
      <c r="W17" s="14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6"/>
      <c r="AJ17" s="55" t="str">
        <f>IF(IFERROR(FIND("X",H18),0)=0,"[  ] Regular
[  ] Irregular",IF(OR(H18="[ X ] Não encontrada"),"[ X ] Irregular","[ X ] Regular"))</f>
        <v>[ X ] Regular</v>
      </c>
      <c r="AK17" s="56"/>
      <c r="AL17" s="56"/>
      <c r="AM17" s="56"/>
      <c r="AN17" s="56"/>
      <c r="AO17" s="57"/>
      <c r="AP17" s="4"/>
    </row>
    <row r="18" spans="1:42" ht="12" customHeight="1" x14ac:dyDescent="0.35">
      <c r="A18" s="3"/>
      <c r="B18" s="44" t="s">
        <v>1897</v>
      </c>
      <c r="C18" s="44"/>
      <c r="D18" s="44"/>
      <c r="E18" s="44"/>
      <c r="F18" s="44"/>
      <c r="G18" s="44"/>
      <c r="H18" s="44" t="s">
        <v>1926</v>
      </c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13"/>
      <c r="AA18" s="13"/>
      <c r="AB18" s="13"/>
      <c r="AC18" s="28"/>
      <c r="AD18" s="28"/>
      <c r="AE18" s="28"/>
      <c r="AF18" s="28"/>
      <c r="AG18" s="28"/>
      <c r="AH18" s="28"/>
      <c r="AI18" s="14"/>
      <c r="AJ18" s="61"/>
      <c r="AK18" s="62"/>
      <c r="AL18" s="62"/>
      <c r="AM18" s="62"/>
      <c r="AN18" s="62"/>
      <c r="AO18" s="63"/>
      <c r="AP18" s="4"/>
    </row>
    <row r="19" spans="1:42" ht="8.15" customHeight="1" x14ac:dyDescent="0.35">
      <c r="A19" s="3"/>
      <c r="B19" s="64" t="s">
        <v>1924</v>
      </c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4"/>
    </row>
    <row r="20" spans="1:42" ht="5.15" customHeight="1" x14ac:dyDescent="0.35">
      <c r="A20" s="5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6"/>
    </row>
    <row r="21" spans="1:42" ht="5.15" customHeight="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2" spans="1:42" s="9" customFormat="1" ht="8.15" customHeight="1" x14ac:dyDescent="0.25">
      <c r="A22" s="10"/>
      <c r="B22" s="41" t="s">
        <v>1898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11"/>
      <c r="AP22" s="10"/>
    </row>
    <row r="23" spans="1:42" ht="5.15" customHeight="1" x14ac:dyDescent="0.35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4"/>
    </row>
    <row r="24" spans="1:42" s="9" customFormat="1" ht="8.15" customHeight="1" x14ac:dyDescent="0.25">
      <c r="A24" s="7"/>
      <c r="B24" s="42" t="s">
        <v>1899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54" t="s">
        <v>1872</v>
      </c>
      <c r="AK24" s="54"/>
      <c r="AL24" s="54"/>
      <c r="AM24" s="54"/>
      <c r="AN24" s="54"/>
      <c r="AO24" s="54"/>
      <c r="AP24" s="8"/>
    </row>
    <row r="25" spans="1:42" s="9" customFormat="1" ht="8.15" customHeight="1" x14ac:dyDescent="0.25">
      <c r="A25" s="7"/>
      <c r="B25" s="17"/>
      <c r="C25" s="42" t="s">
        <v>1900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69"/>
      <c r="AJ25" s="55" t="str">
        <f>IF(AND(H26="",H30=""),"[  ] Regular
[  ] Irregular
[  ] Indeterminado",IF(AND(H26="",H27="",U27="",AG27=""),"[ X ] Indeterminado",IF(OR(H26&lt;&gt;H30,H27&lt;&gt;H31,U27&lt;&gt;U31,AG27&lt;&gt;AG31),"[ X ] Irregular","[ X ] Regular")))</f>
        <v>[ X ] Regular</v>
      </c>
      <c r="AK25" s="56"/>
      <c r="AL25" s="56"/>
      <c r="AM25" s="56"/>
      <c r="AN25" s="56"/>
      <c r="AO25" s="57"/>
      <c r="AP25" s="8"/>
    </row>
    <row r="26" spans="1:42" ht="11.9" customHeight="1" x14ac:dyDescent="0.35">
      <c r="A26" s="3"/>
      <c r="B26" s="19"/>
      <c r="C26" s="44" t="s">
        <v>1901</v>
      </c>
      <c r="D26" s="44"/>
      <c r="E26" s="44"/>
      <c r="F26" s="44"/>
      <c r="G26" s="44"/>
      <c r="H26" s="53" t="s">
        <v>1928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13"/>
      <c r="AJ26" s="58"/>
      <c r="AK26" s="59"/>
      <c r="AL26" s="59"/>
      <c r="AM26" s="59"/>
      <c r="AN26" s="59"/>
      <c r="AO26" s="60"/>
      <c r="AP26" s="4"/>
    </row>
    <row r="27" spans="1:42" ht="12" customHeight="1" x14ac:dyDescent="0.35">
      <c r="A27" s="3"/>
      <c r="B27" s="19"/>
      <c r="C27" s="44" t="s">
        <v>1902</v>
      </c>
      <c r="D27" s="44"/>
      <c r="E27" s="44"/>
      <c r="F27" s="44"/>
      <c r="G27" s="44"/>
      <c r="H27" s="49" t="s">
        <v>1929</v>
      </c>
      <c r="I27" s="49"/>
      <c r="J27" s="49"/>
      <c r="K27" s="49"/>
      <c r="L27" s="49"/>
      <c r="M27" s="49"/>
      <c r="N27" s="49"/>
      <c r="O27" s="49"/>
      <c r="P27" s="49"/>
      <c r="R27" s="73" t="s">
        <v>1903</v>
      </c>
      <c r="S27" s="73"/>
      <c r="T27" s="73"/>
      <c r="U27" s="49" t="s">
        <v>1930</v>
      </c>
      <c r="V27" s="49"/>
      <c r="W27" s="49"/>
      <c r="X27" s="49"/>
      <c r="Y27" s="49"/>
      <c r="Z27" s="49"/>
      <c r="AA27" s="49"/>
      <c r="AB27" s="49"/>
      <c r="AC27" s="49"/>
      <c r="AE27" s="73" t="s">
        <v>1904</v>
      </c>
      <c r="AF27" s="73"/>
      <c r="AG27" s="49" t="s">
        <v>146</v>
      </c>
      <c r="AH27" s="49"/>
      <c r="AI27" s="13"/>
      <c r="AJ27" s="58"/>
      <c r="AK27" s="59"/>
      <c r="AL27" s="59"/>
      <c r="AM27" s="59"/>
      <c r="AN27" s="59"/>
      <c r="AO27" s="60"/>
      <c r="AP27" s="4"/>
    </row>
    <row r="28" spans="1:42" ht="5.15" customHeight="1" x14ac:dyDescent="0.35">
      <c r="A28" s="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58"/>
      <c r="AK28" s="59"/>
      <c r="AL28" s="59"/>
      <c r="AM28" s="59"/>
      <c r="AN28" s="59"/>
      <c r="AO28" s="60"/>
      <c r="AP28" s="4"/>
    </row>
    <row r="29" spans="1:42" s="9" customFormat="1" ht="8.15" customHeight="1" x14ac:dyDescent="0.25">
      <c r="A29" s="7"/>
      <c r="B29" s="17"/>
      <c r="C29" s="42" t="s">
        <v>1879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58"/>
      <c r="AK29" s="59"/>
      <c r="AL29" s="59"/>
      <c r="AM29" s="59"/>
      <c r="AN29" s="59"/>
      <c r="AO29" s="60"/>
      <c r="AP29" s="8"/>
    </row>
    <row r="30" spans="1:42" ht="11.9" customHeight="1" x14ac:dyDescent="0.35">
      <c r="A30" s="3"/>
      <c r="B30" s="19"/>
      <c r="C30" s="44" t="s">
        <v>1901</v>
      </c>
      <c r="D30" s="44"/>
      <c r="E30" s="44"/>
      <c r="F30" s="44"/>
      <c r="G30" s="44"/>
      <c r="H30" s="53" t="s">
        <v>1928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13"/>
      <c r="AJ30" s="58"/>
      <c r="AK30" s="59"/>
      <c r="AL30" s="59"/>
      <c r="AM30" s="59"/>
      <c r="AN30" s="59"/>
      <c r="AO30" s="60"/>
      <c r="AP30" s="4"/>
    </row>
    <row r="31" spans="1:42" ht="12" customHeight="1" x14ac:dyDescent="0.35">
      <c r="A31" s="3"/>
      <c r="B31" s="19"/>
      <c r="C31" s="44" t="s">
        <v>1902</v>
      </c>
      <c r="D31" s="44"/>
      <c r="E31" s="44"/>
      <c r="F31" s="44"/>
      <c r="G31" s="44"/>
      <c r="H31" s="49" t="s">
        <v>1929</v>
      </c>
      <c r="I31" s="49"/>
      <c r="J31" s="49"/>
      <c r="K31" s="49"/>
      <c r="L31" s="49"/>
      <c r="M31" s="49"/>
      <c r="N31" s="49"/>
      <c r="O31" s="49"/>
      <c r="P31" s="49"/>
      <c r="Q31" s="20"/>
      <c r="R31" s="73" t="s">
        <v>1903</v>
      </c>
      <c r="S31" s="73"/>
      <c r="T31" s="73"/>
      <c r="U31" s="49" t="s">
        <v>1930</v>
      </c>
      <c r="V31" s="49"/>
      <c r="W31" s="49"/>
      <c r="X31" s="49"/>
      <c r="Y31" s="49"/>
      <c r="Z31" s="49"/>
      <c r="AA31" s="49"/>
      <c r="AB31" s="49"/>
      <c r="AC31" s="49"/>
      <c r="AD31" s="20"/>
      <c r="AE31" s="73" t="s">
        <v>1904</v>
      </c>
      <c r="AF31" s="73"/>
      <c r="AG31" s="49" t="s">
        <v>146</v>
      </c>
      <c r="AH31" s="49"/>
      <c r="AI31" s="13"/>
      <c r="AJ31" s="61"/>
      <c r="AK31" s="62"/>
      <c r="AL31" s="62"/>
      <c r="AM31" s="62"/>
      <c r="AN31" s="62"/>
      <c r="AO31" s="63"/>
      <c r="AP31" s="4"/>
    </row>
    <row r="32" spans="1:42" ht="5.15" customHeight="1" x14ac:dyDescent="0.35">
      <c r="A32" s="3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4"/>
    </row>
    <row r="33" spans="1:42" s="9" customFormat="1" ht="8.15" customHeight="1" x14ac:dyDescent="0.25">
      <c r="A33" s="7"/>
      <c r="B33" s="42" t="s">
        <v>1905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54" t="s">
        <v>1872</v>
      </c>
      <c r="AK33" s="54"/>
      <c r="AL33" s="54"/>
      <c r="AM33" s="54"/>
      <c r="AN33" s="54"/>
      <c r="AO33" s="54"/>
      <c r="AP33" s="8"/>
    </row>
    <row r="34" spans="1:42" s="9" customFormat="1" ht="8.15" customHeight="1" x14ac:dyDescent="0.25">
      <c r="A34" s="7"/>
      <c r="B34" s="17"/>
      <c r="C34" s="42" t="s">
        <v>1900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69"/>
      <c r="AJ34" s="55" t="str">
        <f>IF(AND(H35="",H38=""),"[  ] Regular
[  ] Irregular
[  ] Indeterminado",IF(AND(H35="",K35="",N35="",W35="",Z35="",AC35=""),"[ X ] Indeterminado",IF(IFERROR(OR(ABS(H35*3600+K35+N35-H38*3600-K38-N38)&gt;1,ABS(W35*3600+Z35+AC35-W38*3600-Z38-AC38)&gt;1),TRUE),"[ X ] Irregular","[ X ] Regular")))</f>
        <v>[ X ] Regular</v>
      </c>
      <c r="AK34" s="56"/>
      <c r="AL34" s="56"/>
      <c r="AM34" s="56"/>
      <c r="AN34" s="56"/>
      <c r="AO34" s="57"/>
      <c r="AP34" s="8"/>
    </row>
    <row r="35" spans="1:42" ht="12" customHeight="1" x14ac:dyDescent="0.35">
      <c r="A35" s="3"/>
      <c r="B35" s="19"/>
      <c r="C35" s="44" t="s">
        <v>1906</v>
      </c>
      <c r="D35" s="44"/>
      <c r="E35" s="44"/>
      <c r="F35" s="44"/>
      <c r="G35" s="44"/>
      <c r="H35" s="68">
        <v>22</v>
      </c>
      <c r="I35" s="68"/>
      <c r="J35" s="15" t="s">
        <v>1907</v>
      </c>
      <c r="K35" s="68">
        <v>35</v>
      </c>
      <c r="L35" s="68"/>
      <c r="M35" s="21" t="s">
        <v>1908</v>
      </c>
      <c r="N35" s="66">
        <v>34.4</v>
      </c>
      <c r="O35" s="66"/>
      <c r="P35" s="66"/>
      <c r="Q35" s="21" t="s">
        <v>1909</v>
      </c>
      <c r="R35" s="14"/>
      <c r="S35" s="14" t="s">
        <v>1910</v>
      </c>
      <c r="T35" s="14"/>
      <c r="V35" s="14"/>
      <c r="W35" s="67">
        <v>44</v>
      </c>
      <c r="X35" s="67"/>
      <c r="Y35" s="15" t="s">
        <v>1907</v>
      </c>
      <c r="Z35" s="68">
        <v>10</v>
      </c>
      <c r="AA35" s="68"/>
      <c r="AB35" s="21" t="s">
        <v>1908</v>
      </c>
      <c r="AC35" s="66">
        <v>25.7</v>
      </c>
      <c r="AD35" s="66"/>
      <c r="AE35" s="66"/>
      <c r="AF35" s="74" t="s">
        <v>1911</v>
      </c>
      <c r="AG35" s="74"/>
      <c r="AH35" s="14"/>
      <c r="AI35" s="14"/>
      <c r="AJ35" s="58"/>
      <c r="AK35" s="59"/>
      <c r="AL35" s="59"/>
      <c r="AM35" s="59"/>
      <c r="AN35" s="59"/>
      <c r="AO35" s="60"/>
      <c r="AP35" s="4"/>
    </row>
    <row r="36" spans="1:42" ht="5.15" customHeight="1" x14ac:dyDescent="0.35">
      <c r="A36" s="3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58"/>
      <c r="AK36" s="59"/>
      <c r="AL36" s="59"/>
      <c r="AM36" s="59"/>
      <c r="AN36" s="59"/>
      <c r="AO36" s="60"/>
      <c r="AP36" s="4"/>
    </row>
    <row r="37" spans="1:42" s="9" customFormat="1" ht="8.15" customHeight="1" x14ac:dyDescent="0.25">
      <c r="A37" s="7"/>
      <c r="B37" s="17"/>
      <c r="C37" s="42" t="s">
        <v>1879</v>
      </c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58"/>
      <c r="AK37" s="59"/>
      <c r="AL37" s="59"/>
      <c r="AM37" s="59"/>
      <c r="AN37" s="59"/>
      <c r="AO37" s="60"/>
      <c r="AP37" s="8"/>
    </row>
    <row r="38" spans="1:42" ht="12" customHeight="1" x14ac:dyDescent="0.35">
      <c r="A38" s="3"/>
      <c r="B38" s="19"/>
      <c r="C38" s="44" t="s">
        <v>1906</v>
      </c>
      <c r="D38" s="44"/>
      <c r="E38" s="44"/>
      <c r="F38" s="44"/>
      <c r="G38" s="44"/>
      <c r="H38" s="68">
        <v>22</v>
      </c>
      <c r="I38" s="68"/>
      <c r="J38" s="15" t="s">
        <v>1907</v>
      </c>
      <c r="K38" s="68">
        <v>35</v>
      </c>
      <c r="L38" s="68"/>
      <c r="M38" s="21" t="s">
        <v>1908</v>
      </c>
      <c r="N38" s="78">
        <v>34.200000000000003</v>
      </c>
      <c r="O38" s="78"/>
      <c r="P38" s="78"/>
      <c r="Q38" s="21" t="s">
        <v>1909</v>
      </c>
      <c r="R38" s="14"/>
      <c r="S38" s="14" t="s">
        <v>1910</v>
      </c>
      <c r="T38" s="14"/>
      <c r="V38" s="14"/>
      <c r="W38" s="67">
        <v>44</v>
      </c>
      <c r="X38" s="67"/>
      <c r="Y38" s="15" t="s">
        <v>1907</v>
      </c>
      <c r="Z38" s="68">
        <v>10</v>
      </c>
      <c r="AA38" s="68"/>
      <c r="AB38" s="21" t="s">
        <v>1908</v>
      </c>
      <c r="AC38" s="78">
        <v>25.6</v>
      </c>
      <c r="AD38" s="78"/>
      <c r="AE38" s="78"/>
      <c r="AF38" s="74" t="s">
        <v>1911</v>
      </c>
      <c r="AG38" s="74"/>
      <c r="AH38" s="14"/>
      <c r="AI38" s="14"/>
      <c r="AJ38" s="61"/>
      <c r="AK38" s="62"/>
      <c r="AL38" s="62"/>
      <c r="AM38" s="62"/>
      <c r="AN38" s="62"/>
      <c r="AO38" s="63"/>
      <c r="AP38" s="4"/>
    </row>
    <row r="39" spans="1:42" ht="8.15" customHeight="1" x14ac:dyDescent="0.35">
      <c r="A39" s="3"/>
      <c r="B39" s="64" t="s">
        <v>1912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4"/>
    </row>
    <row r="40" spans="1:42" ht="5.15" customHeight="1" x14ac:dyDescent="0.35">
      <c r="A40" s="5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6"/>
    </row>
    <row r="41" spans="1:42" ht="5.1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</row>
    <row r="42" spans="1:42" s="9" customFormat="1" ht="8.15" customHeight="1" x14ac:dyDescent="0.25">
      <c r="A42" s="10"/>
      <c r="B42" s="41" t="s">
        <v>1870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11"/>
      <c r="AP42" s="10"/>
    </row>
    <row r="43" spans="1:42" ht="5.15" customHeight="1" x14ac:dyDescent="0.35">
      <c r="A43" s="3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4"/>
    </row>
    <row r="44" spans="1:42" s="9" customFormat="1" ht="8.15" customHeight="1" x14ac:dyDescent="0.25">
      <c r="A44" s="7"/>
      <c r="B44" s="42" t="s">
        <v>1913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54" t="s">
        <v>1872</v>
      </c>
      <c r="AK44" s="54"/>
      <c r="AL44" s="54"/>
      <c r="AM44" s="54"/>
      <c r="AN44" s="54"/>
      <c r="AO44" s="54"/>
      <c r="AP44" s="8"/>
    </row>
    <row r="45" spans="1:42" s="9" customFormat="1" ht="8.15" customHeight="1" x14ac:dyDescent="0.25">
      <c r="A45" s="7"/>
      <c r="B45" s="17"/>
      <c r="C45" s="42" t="s">
        <v>1879</v>
      </c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55" t="str">
        <f>IF(AND(H46="",IFERROR(FIND("X",H48),0)=0),"[  ] Regular
[  ] Irregular
[  ] Indeterminado",IF(AND(H18="[ X ] Não encontrada",W47="[ X ] Ligado"),"[ X ] Irregular",IF(H48="[ X ] Não confirmada","[ X ] Indeterminado","[ X ] Regular")))</f>
        <v>[ X ] Regular</v>
      </c>
      <c r="AK45" s="56"/>
      <c r="AL45" s="56"/>
      <c r="AM45" s="56"/>
      <c r="AN45" s="56"/>
      <c r="AO45" s="57"/>
      <c r="AP45" s="8"/>
    </row>
    <row r="46" spans="1:42" ht="12" customHeight="1" x14ac:dyDescent="0.35">
      <c r="A46" s="3"/>
      <c r="B46" s="19"/>
      <c r="C46" s="44" t="s">
        <v>1916</v>
      </c>
      <c r="D46" s="44"/>
      <c r="E46" s="44"/>
      <c r="F46" s="44"/>
      <c r="G46" s="44"/>
      <c r="H46" s="53" t="s">
        <v>1931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T46" s="44" t="s">
        <v>1917</v>
      </c>
      <c r="U46" s="44"/>
      <c r="V46" s="44"/>
      <c r="W46" s="53" t="s">
        <v>1932</v>
      </c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13"/>
      <c r="AJ46" s="58"/>
      <c r="AK46" s="59"/>
      <c r="AL46" s="59"/>
      <c r="AM46" s="59"/>
      <c r="AN46" s="59"/>
      <c r="AO46" s="60"/>
      <c r="AP46" s="4"/>
    </row>
    <row r="47" spans="1:42" ht="12" customHeight="1" x14ac:dyDescent="0.35">
      <c r="A47" s="3"/>
      <c r="B47" s="19"/>
      <c r="C47" s="44" t="s">
        <v>1918</v>
      </c>
      <c r="D47" s="44"/>
      <c r="E47" s="44"/>
      <c r="F47" s="44"/>
      <c r="G47" s="44"/>
      <c r="H47" s="79" t="s">
        <v>1934</v>
      </c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13"/>
      <c r="T47" s="44" t="s">
        <v>1919</v>
      </c>
      <c r="U47" s="44"/>
      <c r="V47" s="44"/>
      <c r="W47" s="73" t="s">
        <v>1933</v>
      </c>
      <c r="X47" s="73"/>
      <c r="Y47" s="73"/>
      <c r="Z47" s="73"/>
      <c r="AA47" s="73"/>
      <c r="AB47" s="73"/>
      <c r="AC47" s="73"/>
      <c r="AD47" s="73"/>
      <c r="AI47" s="13"/>
      <c r="AJ47" s="58"/>
      <c r="AK47" s="59"/>
      <c r="AL47" s="59"/>
      <c r="AM47" s="59"/>
      <c r="AN47" s="59"/>
      <c r="AO47" s="60"/>
      <c r="AP47" s="4"/>
    </row>
    <row r="48" spans="1:42" ht="12" customHeight="1" x14ac:dyDescent="0.35">
      <c r="A48" s="3"/>
      <c r="B48" s="19"/>
      <c r="C48" s="44" t="s">
        <v>1897</v>
      </c>
      <c r="D48" s="44"/>
      <c r="E48" s="44"/>
      <c r="F48" s="44"/>
      <c r="G48" s="44"/>
      <c r="H48" s="44" t="s">
        <v>1935</v>
      </c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13"/>
      <c r="AJ48" s="58"/>
      <c r="AK48" s="59"/>
      <c r="AL48" s="59"/>
      <c r="AM48" s="59"/>
      <c r="AN48" s="59"/>
      <c r="AO48" s="60"/>
      <c r="AP48" s="4"/>
    </row>
    <row r="49" spans="1:42" ht="12" customHeight="1" x14ac:dyDescent="0.35">
      <c r="A49" s="3"/>
      <c r="B49" s="19"/>
      <c r="C49" s="44" t="s">
        <v>1914</v>
      </c>
      <c r="D49" s="44"/>
      <c r="E49" s="44"/>
      <c r="F49" s="44"/>
      <c r="G49" s="44"/>
      <c r="H49" s="75">
        <v>1873</v>
      </c>
      <c r="I49" s="75"/>
      <c r="J49" s="75"/>
      <c r="K49" s="75"/>
      <c r="L49" s="75"/>
      <c r="M49" s="18" t="s">
        <v>1915</v>
      </c>
      <c r="N49" s="68">
        <v>6</v>
      </c>
      <c r="O49" s="68"/>
      <c r="P49" s="68"/>
      <c r="Q49" s="18" t="s">
        <v>1915</v>
      </c>
      <c r="R49" s="75">
        <v>1683</v>
      </c>
      <c r="S49" s="75"/>
      <c r="T49" s="75"/>
      <c r="U49" s="75"/>
      <c r="V49" s="75"/>
      <c r="W49" s="13"/>
      <c r="X49" s="13"/>
      <c r="Y49" s="13"/>
      <c r="Z49" s="13"/>
      <c r="AA49" s="13"/>
      <c r="AB49" s="13"/>
      <c r="AI49" s="13"/>
      <c r="AJ49" s="61"/>
      <c r="AK49" s="62"/>
      <c r="AL49" s="62"/>
      <c r="AM49" s="62"/>
      <c r="AN49" s="62"/>
      <c r="AO49" s="63"/>
      <c r="AP49" s="4"/>
    </row>
    <row r="50" spans="1:42" ht="5.15" customHeight="1" x14ac:dyDescent="0.35">
      <c r="A50" s="5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6"/>
    </row>
    <row r="51" spans="1:42" ht="5.1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s="9" customFormat="1" ht="8.15" customHeight="1" x14ac:dyDescent="0.25">
      <c r="A52" s="10"/>
      <c r="B52" s="41" t="s">
        <v>1920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11"/>
      <c r="AP52" s="10"/>
    </row>
    <row r="53" spans="1:42" ht="5.15" customHeight="1" x14ac:dyDescent="0.35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4"/>
    </row>
    <row r="54" spans="1:42" s="9" customFormat="1" ht="8.15" customHeight="1" x14ac:dyDescent="0.25">
      <c r="A54" s="7"/>
      <c r="B54" s="42" t="s">
        <v>1921</v>
      </c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54"/>
      <c r="AK54" s="54"/>
      <c r="AL54" s="54"/>
      <c r="AM54" s="54"/>
      <c r="AN54" s="54"/>
      <c r="AO54" s="54"/>
      <c r="AP54" s="8"/>
    </row>
    <row r="55" spans="1:42" ht="12" customHeight="1" x14ac:dyDescent="0.35">
      <c r="A55" s="3"/>
      <c r="B55" s="44" t="s">
        <v>1922</v>
      </c>
      <c r="C55" s="44"/>
      <c r="D55" s="44"/>
      <c r="E55" s="44"/>
      <c r="F55" s="44"/>
      <c r="G55" s="44"/>
      <c r="H55" s="44" t="s">
        <v>1936</v>
      </c>
      <c r="I55" s="44"/>
      <c r="J55" s="44"/>
      <c r="K55" s="44"/>
      <c r="L55" s="44"/>
      <c r="M55" s="44"/>
      <c r="N55" s="44"/>
      <c r="O55" s="44"/>
      <c r="P55" s="44"/>
      <c r="Q55" s="13"/>
      <c r="R55" s="44" t="s">
        <v>1923</v>
      </c>
      <c r="S55" s="44"/>
      <c r="T55" s="44"/>
      <c r="U55" s="44"/>
      <c r="V55" s="44"/>
      <c r="W55" s="44"/>
      <c r="X55" s="76" t="s">
        <v>1937</v>
      </c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16"/>
      <c r="AJ55" s="77"/>
      <c r="AK55" s="77"/>
      <c r="AL55" s="77"/>
      <c r="AM55" s="77"/>
      <c r="AN55" s="77"/>
      <c r="AO55" s="77"/>
      <c r="AP55" s="4"/>
    </row>
    <row r="56" spans="1:42" ht="5.15" customHeight="1" x14ac:dyDescent="0.35">
      <c r="A56" s="5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6"/>
    </row>
    <row r="57" spans="1:42" ht="5.1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s="9" customFormat="1" ht="8.15" customHeight="1" x14ac:dyDescent="0.25">
      <c r="A58" s="10"/>
      <c r="B58" s="41" t="s">
        <v>1889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11"/>
      <c r="AP58" s="10"/>
    </row>
    <row r="59" spans="1:42" ht="5.15" customHeight="1" x14ac:dyDescent="0.35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4"/>
    </row>
    <row r="60" spans="1:42" s="9" customFormat="1" ht="7.5" customHeight="1" x14ac:dyDescent="0.25">
      <c r="A60" s="7"/>
      <c r="B60" s="42" t="s">
        <v>1890</v>
      </c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8"/>
    </row>
    <row r="61" spans="1:42" ht="113.25" customHeight="1" x14ac:dyDescent="0.35">
      <c r="A61" s="3"/>
      <c r="B61" s="43" t="s">
        <v>1891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"/>
    </row>
    <row r="62" spans="1:42" ht="5.15" customHeight="1" x14ac:dyDescent="0.35">
      <c r="A62" s="5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6"/>
    </row>
  </sheetData>
  <sheetProtection algorithmName="SHA-512" hashValue="bhxHQ8vGRmnC+hqicwVQtvNoE0/13hozBmdTNtuE6KONrNKCaKo2deR/Z8OlI2lzk8qqHip7qLtpQQKUt87oLw==" saltValue="aUU+OV68m8iXx3VW9xDfjA==" spinCount="100000" sheet="1" objects="1" scenarios="1"/>
  <protectedRanges>
    <protectedRange sqref="H48:AC48" name="Sistema_1"/>
    <protectedRange sqref="H46:R46 W46:AH46 H47 W47:AD47 H49:L49 N49:P49 R49:V49" name="Sistema"/>
    <protectedRange sqref="H30:AH30 H27:P27 H31:Q31 T31:AC31 T27:AC27 AG31:AH31 AG27:AH27 H26:AH26 H35 K35 N35 W35 Z35 AC35 H38 K38 N38 W38 Z38 AC38" name="Localização"/>
    <protectedRange sqref="X55:AH55 H55:P55" name="Documento_2"/>
    <protectedRange sqref="AO4 H11" name="Identificação_1"/>
    <protectedRange sqref="B61:AO61" name="Observação_1"/>
    <protectedRange sqref="X17 AC18 H17:H18" name="Documento_3"/>
    <protectedRange sqref="H55:P55 X55:AH55" name="Intervalo8"/>
  </protectedRanges>
  <mergeCells count="101">
    <mergeCell ref="B19:AO19"/>
    <mergeCell ref="B14:AN14"/>
    <mergeCell ref="B16:AI16"/>
    <mergeCell ref="AJ16:AO16"/>
    <mergeCell ref="B17:G17"/>
    <mergeCell ref="H17:P17"/>
    <mergeCell ref="AJ17:AO18"/>
    <mergeCell ref="B18:G18"/>
    <mergeCell ref="H18:Y18"/>
    <mergeCell ref="H55:P55"/>
    <mergeCell ref="R55:W55"/>
    <mergeCell ref="X55:AH55"/>
    <mergeCell ref="AJ55:AO55"/>
    <mergeCell ref="R49:V49"/>
    <mergeCell ref="AF38:AG38"/>
    <mergeCell ref="B39:AO39"/>
    <mergeCell ref="B42:AN42"/>
    <mergeCell ref="B44:AI44"/>
    <mergeCell ref="AJ44:AO44"/>
    <mergeCell ref="K38:L38"/>
    <mergeCell ref="N38:P38"/>
    <mergeCell ref="W38:X38"/>
    <mergeCell ref="Z38:AA38"/>
    <mergeCell ref="AC38:AE38"/>
    <mergeCell ref="C38:G38"/>
    <mergeCell ref="H38:I38"/>
    <mergeCell ref="H47:R47"/>
    <mergeCell ref="T47:V47"/>
    <mergeCell ref="H48:AH48"/>
    <mergeCell ref="H31:P31"/>
    <mergeCell ref="R31:T31"/>
    <mergeCell ref="AJ33:AO33"/>
    <mergeCell ref="C34:AI34"/>
    <mergeCell ref="AJ34:AO38"/>
    <mergeCell ref="B58:AN58"/>
    <mergeCell ref="B60:AO60"/>
    <mergeCell ref="B61:AO61"/>
    <mergeCell ref="C45:AI45"/>
    <mergeCell ref="AJ45:AO49"/>
    <mergeCell ref="C46:G46"/>
    <mergeCell ref="H46:R46"/>
    <mergeCell ref="T46:V46"/>
    <mergeCell ref="W46:AH46"/>
    <mergeCell ref="C47:G47"/>
    <mergeCell ref="W47:AD47"/>
    <mergeCell ref="C48:G48"/>
    <mergeCell ref="C49:G49"/>
    <mergeCell ref="H49:L49"/>
    <mergeCell ref="N49:P49"/>
    <mergeCell ref="B52:AN52"/>
    <mergeCell ref="B54:AI54"/>
    <mergeCell ref="AJ54:AO54"/>
    <mergeCell ref="B55:G55"/>
    <mergeCell ref="Q4:Z4"/>
    <mergeCell ref="U31:AC31"/>
    <mergeCell ref="AE31:AF31"/>
    <mergeCell ref="AG27:AH27"/>
    <mergeCell ref="AG31:AH31"/>
    <mergeCell ref="C37:AI37"/>
    <mergeCell ref="AJ25:AO31"/>
    <mergeCell ref="C26:G26"/>
    <mergeCell ref="H26:AH26"/>
    <mergeCell ref="C27:G27"/>
    <mergeCell ref="H27:P27"/>
    <mergeCell ref="R27:T27"/>
    <mergeCell ref="U27:AC27"/>
    <mergeCell ref="AE27:AF27"/>
    <mergeCell ref="C29:AI29"/>
    <mergeCell ref="C30:G30"/>
    <mergeCell ref="H30:AH30"/>
    <mergeCell ref="C31:G31"/>
    <mergeCell ref="AC35:AE35"/>
    <mergeCell ref="B33:AI33"/>
    <mergeCell ref="AF35:AG35"/>
    <mergeCell ref="C35:G35"/>
    <mergeCell ref="H35:I35"/>
    <mergeCell ref="K35:L35"/>
    <mergeCell ref="N35:P35"/>
    <mergeCell ref="W35:X35"/>
    <mergeCell ref="Z35:AA35"/>
    <mergeCell ref="N1:AB1"/>
    <mergeCell ref="AC1:AP1"/>
    <mergeCell ref="AK4:AN4"/>
    <mergeCell ref="B22:AN22"/>
    <mergeCell ref="B24:AI24"/>
    <mergeCell ref="AJ24:AO24"/>
    <mergeCell ref="C25:AI25"/>
    <mergeCell ref="B6:AO6"/>
    <mergeCell ref="B7:G7"/>
    <mergeCell ref="H7:AO7"/>
    <mergeCell ref="B8:G8"/>
    <mergeCell ref="H8:AO8"/>
    <mergeCell ref="B11:G11"/>
    <mergeCell ref="H11:AO11"/>
    <mergeCell ref="B10:AO10"/>
    <mergeCell ref="B3:AO3"/>
    <mergeCell ref="B4:G4"/>
    <mergeCell ref="H4:L4"/>
    <mergeCell ref="N4:P4"/>
    <mergeCell ref="AD4:AI4"/>
    <mergeCell ref="AA4:AC4"/>
  </mergeCells>
  <conditionalFormatting sqref="AJ25:AO31">
    <cfRule type="cellIs" dxfId="14" priority="28" operator="equal">
      <formula>"[ X ] Indeterminado"</formula>
    </cfRule>
    <cfRule type="cellIs" dxfId="13" priority="29" operator="equal">
      <formula>"[ X ] Irregular"</formula>
    </cfRule>
    <cfRule type="cellIs" dxfId="12" priority="30" operator="equal">
      <formula>"[ X ] Regular"</formula>
    </cfRule>
  </conditionalFormatting>
  <conditionalFormatting sqref="AJ34:AO38">
    <cfRule type="cellIs" dxfId="11" priority="25" operator="equal">
      <formula>"[ X ] Indeterminado"</formula>
    </cfRule>
    <cfRule type="cellIs" dxfId="10" priority="26" operator="equal">
      <formula>"[ X ] Irregular"</formula>
    </cfRule>
    <cfRule type="cellIs" dxfId="9" priority="27" operator="equal">
      <formula>"[ X ] Regular"</formula>
    </cfRule>
  </conditionalFormatting>
  <conditionalFormatting sqref="AJ45:AO49">
    <cfRule type="cellIs" dxfId="8" priority="22" operator="equal">
      <formula>"[ X ] Indeterminado"</formula>
    </cfRule>
    <cfRule type="cellIs" dxfId="7" priority="23" operator="equal">
      <formula>"[ X ] Irregular"</formula>
    </cfRule>
    <cfRule type="cellIs" dxfId="6" priority="24" operator="equal">
      <formula>"[ X ] Regular"</formula>
    </cfRule>
  </conditionalFormatting>
  <conditionalFormatting sqref="AJ55:AO55">
    <cfRule type="cellIs" dxfId="5" priority="19" operator="equal">
      <formula>"[ X ] Indeterminado"</formula>
    </cfRule>
    <cfRule type="cellIs" dxfId="4" priority="20" operator="equal">
      <formula>"[ X ] Irregular"</formula>
    </cfRule>
    <cfRule type="cellIs" dxfId="3" priority="21" operator="equal">
      <formula>"[ X ] Regular"</formula>
    </cfRule>
  </conditionalFormatting>
  <conditionalFormatting sqref="AJ17">
    <cfRule type="cellIs" dxfId="2" priority="13" operator="equal">
      <formula>"[ X ] Indeterminado"</formula>
    </cfRule>
    <cfRule type="cellIs" dxfId="1" priority="14" operator="equal">
      <formula>"[ X ] Irregular"</formula>
    </cfRule>
    <cfRule type="cellIs" dxfId="0" priority="15" operator="equal">
      <formula>"[ X ] Regular"</formula>
    </cfRule>
  </conditionalFormatting>
  <dataValidations count="6">
    <dataValidation type="list" allowBlank="1" showInputMessage="1" showErrorMessage="1" sqref="W47:AD47" xr:uid="{00000000-0002-0000-0800-000000000000}">
      <formula1>"[  ] Ligado    [  ] Desligado,[ X ] Ligado,[ X ] Desligado"</formula1>
    </dataValidation>
    <dataValidation type="list" allowBlank="1" showInputMessage="1" showErrorMessage="1" sqref="H55:P55" xr:uid="{00000000-0002-0000-0800-000002000000}">
      <formula1>"[  ] PETROBRAS    [  ] Terceiro,[ X ] PETROBRAS,[ X ] Terceiro"</formula1>
    </dataValidation>
    <dataValidation type="list" allowBlank="1" showInputMessage="1" showErrorMessage="1" sqref="AO4" xr:uid="{00000000-0002-0000-0800-000003000000}">
      <formula1>"01,02,03,04,05,06,07,08,09,10,11,12,13,14,15,16,17,18,19,20,21,22,23,24,25,26,27,28,29,30,31,32,33,34,35,36,37,38,39,40,41,42,43,44,45,46,47,48,49,50"</formula1>
    </dataValidation>
    <dataValidation type="list" allowBlank="1" showInputMessage="1" showErrorMessage="1" sqref="H18:Y18" xr:uid="{00000000-0002-0000-0800-000004000000}">
      <formula1>"Documento { [  ] Físico    [  ] Eletrônico }    [  ] Não encontrada,[ X ] Documento { Físico },[ X ] Documento { Eletrônico },[ X ] Não encontrada"</formula1>
    </dataValidation>
    <dataValidation type="list" allowBlank="1" showInputMessage="1" showErrorMessage="1" sqref="H48" xr:uid="{556822D9-6981-4D00-B277-6F47330A448E}">
      <formula1>"[  ] Selo no equipamento    Documento { [  ] Físico    [  ] Eletrônico }    [  ] Não confirmada,[ X ] Selo no equipamento,Documento { [ X ] Físico },Documento { [ X ] Eletrônico },[ X ] Não confirmada"</formula1>
    </dataValidation>
    <dataValidation allowBlank="1" showInputMessage="1" sqref="H4:L4" xr:uid="{2DC493BE-D262-4D1F-90AF-33E893ED0D9C}"/>
  </dataValidations>
  <pageMargins left="0.39370078740157483" right="0.39370078740157483" top="0.78740157480314965" bottom="0.39370078740157483" header="0.31496062992125984" footer="0.31496062992125984"/>
  <pageSetup paperSize="9" orientation="portrait" r:id="rId1"/>
  <headerFooter>
    <oddHeader>&amp;L&amp;G&amp;C&amp;"Verdana,Normal"&amp;8
Formulário de vistoria de sistema de transmissão
PETROBRAS - 076 - SRP (Serviço de Rede Privado) - Fibra óptica&amp;R&amp;G</oddHeader>
    <oddFooter>&amp;C&amp;"Arial Black,Regular"&amp;1&amp;K008542#&amp;11INTERNA \ Força de Trabalho&amp;L&amp;"Calibri"&amp;11&amp;K000000&amp;"Tahoma,Normal"&amp;8Gestor: TIC/OI/TELED/RER_x000D_&amp;1#&amp;"Trebuchet MS"&amp;9&amp;K008542INTERNA&amp;R&amp;"Tahoma,Normal"&amp;8Página &amp;P/&amp;N - Novembro/2023 - Versão 1.49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800-000006000000}">
          <x14:formula1>
            <xm:f>Parâmetro!$A$2328:$A$10519</xm:f>
          </x14:formula1>
          <xm:sqref>H11:AO11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5BF710D002418468E267B29F4FFD235" ma:contentTypeVersion="17" ma:contentTypeDescription="Crie um novo documento." ma:contentTypeScope="" ma:versionID="3edc2d76a7db7f9b29da04f4656b5687">
  <xsd:schema xmlns:xsd="http://www.w3.org/2001/XMLSchema" xmlns:xs="http://www.w3.org/2001/XMLSchema" xmlns:p="http://schemas.microsoft.com/office/2006/metadata/properties" xmlns:ns2="4276bc12-4393-44a0-aa4f-1efedf5486ee" xmlns:ns3="662ae2f7-431c-4f2c-824c-41e25b40dd21" xmlns:ns4="b087b30d-b172-47db-b7f6-8185c2863679" targetNamespace="http://schemas.microsoft.com/office/2006/metadata/properties" ma:root="true" ma:fieldsID="312cfa1e45d87ae2e94bca26342db464" ns2:_="" ns3:_="" ns4:_="">
    <xsd:import namespace="4276bc12-4393-44a0-aa4f-1efedf5486ee"/>
    <xsd:import namespace="662ae2f7-431c-4f2c-824c-41e25b40dd21"/>
    <xsd:import namespace="b087b30d-b172-47db-b7f6-8185c28636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LengthInSeconds" minOccurs="0"/>
                <xsd:element ref="ns2:MediaServiceLoca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6bc12-4393-44a0-aa4f-1efedf5486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2ae2f7-431c-4f2c-824c-41e25b40dd21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87b30d-b172-47db-b7f6-8185c2863679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6774a99a-4941-4f62-88d5-4f7895f548fa}" ma:internalName="TaxCatchAll" ma:showField="CatchAllData" ma:web="b087b30d-b172-47db-b7f6-8185c2863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276bc12-4393-44a0-aa4f-1efedf5486ee">
      <Terms xmlns="http://schemas.microsoft.com/office/infopath/2007/PartnerControls"/>
    </lcf76f155ced4ddcb4097134ff3c332f>
    <TaxCatchAll xmlns="b087b30d-b172-47db-b7f6-8185c2863679" xsi:nil="true"/>
    <MediaLengthInSeconds xmlns="4276bc12-4393-44a0-aa4f-1efedf5486ee" xsi:nil="true"/>
    <SharedWithUsers xmlns="662ae2f7-431c-4f2c-824c-41e25b40dd21">
      <UserInfo>
        <DisplayName/>
        <AccountId xsi:nil="true"/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EF8DB4-1F20-4C21-BA2F-EE58C241E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76bc12-4393-44a0-aa4f-1efedf5486ee"/>
    <ds:schemaRef ds:uri="662ae2f7-431c-4f2c-824c-41e25b40dd21"/>
    <ds:schemaRef ds:uri="b087b30d-b172-47db-b7f6-8185c28636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38884C-1848-42A6-B52C-5E98C671FD4A}">
  <ds:schemaRefs>
    <ds:schemaRef ds:uri="http://purl.org/dc/terms/"/>
    <ds:schemaRef ds:uri="http://schemas.microsoft.com/office/2006/metadata/properties"/>
    <ds:schemaRef ds:uri="4276bc12-4393-44a0-aa4f-1efedf5486ee"/>
    <ds:schemaRef ds:uri="http://purl.org/dc/dcmitype/"/>
    <ds:schemaRef ds:uri="b087b30d-b172-47db-b7f6-8185c2863679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662ae2f7-431c-4f2c-824c-41e25b40dd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DC0B9DE-5F51-4567-B446-86F6509F98D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Estação</vt:lpstr>
      <vt:lpstr>PB,Sistema,076 - SRP,Fibra</vt:lpstr>
    </vt:vector>
  </TitlesOfParts>
  <Manager/>
  <Company>Petrobras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Leandro Spinola Rodrigues</dc:creator>
  <cp:keywords/>
  <dc:description/>
  <cp:lastModifiedBy>Ivaldo Lima Cerveira</cp:lastModifiedBy>
  <cp:revision/>
  <dcterms:created xsi:type="dcterms:W3CDTF">2016-06-20T10:05:44Z</dcterms:created>
  <dcterms:modified xsi:type="dcterms:W3CDTF">2024-01-09T16:01:03Z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0x01010065BF710D002418468E267B29F4FFD235</vt:lpwstr>
  </property>
  <property fmtid="{D5CDD505-2E9C-101B-9397-08002B2CF9AE}" pid="3" name="MediaServiceImageTags">
    <vt:lpwstr/>
  </property>
  <property fmtid="{D5CDD505-2E9C-101B-9397-08002B2CF9AE}" pid="4" name="MSIP_Label_d5eb2d05-47c5-4b3e-9bd7-b47e03a10069_Enabled">
    <vt:lpwstr>true</vt:lpwstr>
  </property>
  <property fmtid="{D5CDD505-2E9C-101B-9397-08002B2CF9AE}" pid="5" name="MSIP_Label_d5eb2d05-47c5-4b3e-9bd7-b47e03a10069_SetDate">
    <vt:lpwstr>2023-12-26T13:53:41Z</vt:lpwstr>
  </property>
  <property fmtid="{D5CDD505-2E9C-101B-9397-08002B2CF9AE}" pid="6" name="MSIP_Label_d5eb2d05-47c5-4b3e-9bd7-b47e03a10069_Method">
    <vt:lpwstr>Privileged</vt:lpwstr>
  </property>
  <property fmtid="{D5CDD505-2E9C-101B-9397-08002B2CF9AE}" pid="7" name="MSIP_Label_d5eb2d05-47c5-4b3e-9bd7-b47e03a10069_Name">
    <vt:lpwstr>PETROBRAS Colaboradores</vt:lpwstr>
  </property>
  <property fmtid="{D5CDD505-2E9C-101B-9397-08002B2CF9AE}" pid="8" name="MSIP_Label_d5eb2d05-47c5-4b3e-9bd7-b47e03a10069_SiteId">
    <vt:lpwstr>5b6f6241-9a57-4be4-8e50-1dfa72e79a57</vt:lpwstr>
  </property>
  <property fmtid="{D5CDD505-2E9C-101B-9397-08002B2CF9AE}" pid="9" name="MSIP_Label_d5eb2d05-47c5-4b3e-9bd7-b47e03a10069_ActionId">
    <vt:lpwstr>9f0ef065-bcee-4371-aa10-f089c3441601</vt:lpwstr>
  </property>
  <property fmtid="{D5CDD505-2E9C-101B-9397-08002B2CF9AE}" pid="10" name="MSIP_Label_d5eb2d05-47c5-4b3e-9bd7-b47e03a10069_ContentBits">
    <vt:lpwstr>2</vt:lpwstr>
  </property>
</Properties>
</file>